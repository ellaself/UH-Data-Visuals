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https://hawaii0-my.sharepoint.com/personal/ellaself_hawaii_edu/Documents/"/>
    </mc:Choice>
  </mc:AlternateContent>
  <xr:revisionPtr revIDLastSave="0" documentId="8_{9EF677AE-4F57-4CBE-BF75-22DF99B14F22}" xr6:coauthVersionLast="47" xr6:coauthVersionMax="47" xr10:uidLastSave="{00000000-0000-0000-0000-000000000000}"/>
  <bookViews>
    <workbookView xWindow="2240" yWindow="9000" windowWidth="28800" windowHeight="13100" xr2:uid="{00000000-000D-0000-FFFF-FFFF00000000}"/>
  </bookViews>
  <sheets>
    <sheet name="Sheet1" sheetId="1" r:id="rId1"/>
    <sheet name="Net Zero" sheetId="2" r:id="rId2"/>
  </sheets>
  <definedNames>
    <definedName name="HIlo_PV_2023" localSheetId="0">Sheet1!$A$2:$N$2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9" i="1" l="1"/>
  <c r="L66" i="1"/>
  <c r="L41" i="1" l="1"/>
  <c r="L71" i="1" l="1"/>
  <c r="L70" i="1"/>
  <c r="L67" i="1"/>
  <c r="L65" i="1"/>
  <c r="L64" i="1"/>
  <c r="L63" i="1"/>
  <c r="L60" i="1"/>
  <c r="L59" i="1"/>
  <c r="L58" i="1"/>
  <c r="L48" i="1"/>
  <c r="L39" i="1" l="1"/>
  <c r="L31" i="1"/>
  <c r="L32" i="1"/>
  <c r="L35" i="1"/>
  <c r="L36" i="1"/>
  <c r="L37" i="1"/>
  <c r="L42" i="1"/>
  <c r="L43" i="1"/>
  <c r="L19" i="1"/>
  <c r="L61" i="1" s="1"/>
  <c r="L26" i="1"/>
  <c r="L68" i="1" s="1"/>
  <c r="L20" i="1"/>
  <c r="L62" i="1" s="1"/>
  <c r="L30" i="1" l="1"/>
  <c r="L34" i="1"/>
  <c r="L33" i="1"/>
  <c r="L40" i="1"/>
  <c r="L102" i="1"/>
  <c r="L103" i="1"/>
  <c r="L109" i="1"/>
  <c r="L110" i="1"/>
  <c r="L101" i="1"/>
  <c r="K92" i="1" l="1"/>
  <c r="L92" i="1" s="1"/>
  <c r="H98" i="1"/>
  <c r="I98" i="1" s="1"/>
  <c r="J98" i="1" s="1"/>
  <c r="K98" i="1" s="1"/>
  <c r="L98" i="1" s="1"/>
  <c r="I96" i="1"/>
  <c r="G90" i="1"/>
  <c r="H90" i="1" s="1"/>
  <c r="N41" i="1"/>
  <c r="C30" i="2" l="1"/>
  <c r="D7" i="1" l="1"/>
  <c r="O14" i="1" l="1"/>
  <c r="O13" i="1"/>
  <c r="O12" i="1"/>
  <c r="O2" i="1"/>
  <c r="O3" i="1"/>
  <c r="O4" i="1"/>
  <c r="O5" i="1"/>
  <c r="O6" i="1"/>
  <c r="O7" i="1"/>
  <c r="O8" i="1"/>
  <c r="O11" i="1"/>
  <c r="J111" i="1" l="1"/>
  <c r="K111" i="1" s="1"/>
  <c r="L111" i="1" s="1"/>
  <c r="K112" i="1"/>
  <c r="L112" i="1" s="1"/>
  <c r="K30" i="1" l="1"/>
  <c r="K58" i="1"/>
  <c r="K59" i="1" l="1"/>
  <c r="K31" i="1"/>
  <c r="N31" i="1" s="1"/>
  <c r="K60" i="1"/>
  <c r="K61" i="1"/>
  <c r="K32" i="1"/>
  <c r="N32" i="1" s="1"/>
  <c r="K33" i="1"/>
  <c r="N33" i="1" s="1"/>
  <c r="K62" i="1"/>
  <c r="K34" i="1"/>
  <c r="N34" i="1" s="1"/>
  <c r="K63" i="1"/>
  <c r="K35" i="1"/>
  <c r="K65" i="1"/>
  <c r="K64" i="1"/>
  <c r="K36" i="1"/>
  <c r="N36" i="1" s="1"/>
  <c r="K37" i="1"/>
  <c r="N37" i="1" s="1"/>
  <c r="K67" i="1"/>
  <c r="K68" i="1"/>
  <c r="K40" i="1"/>
  <c r="N40" i="1" s="1"/>
  <c r="K70" i="1"/>
  <c r="K71" i="1"/>
  <c r="H68" i="1"/>
  <c r="K42" i="1"/>
  <c r="N42" i="1" s="1"/>
  <c r="K39" i="1"/>
  <c r="N39" i="1" s="1"/>
  <c r="K43" i="1"/>
  <c r="N43" i="1" s="1"/>
  <c r="J32" i="1"/>
  <c r="C29" i="2"/>
  <c r="K44" i="1" l="1"/>
  <c r="N35" i="1"/>
  <c r="O10" i="1"/>
  <c r="K9" i="1"/>
  <c r="L9" i="1" l="1"/>
  <c r="L38" i="1" s="1"/>
  <c r="L44" i="1" s="1"/>
  <c r="K16" i="1"/>
  <c r="N38" i="1" l="1"/>
  <c r="L16" i="1"/>
  <c r="O9" i="1"/>
  <c r="J99" i="1"/>
  <c r="K99" i="1" s="1"/>
  <c r="L99" i="1" s="1"/>
  <c r="J94" i="1"/>
  <c r="K94" i="1" s="1"/>
  <c r="L94" i="1" s="1"/>
  <c r="J95" i="1"/>
  <c r="K95" i="1" s="1"/>
  <c r="L95" i="1" s="1"/>
  <c r="J96" i="1"/>
  <c r="K96" i="1" s="1"/>
  <c r="L96" i="1" s="1"/>
  <c r="J97" i="1"/>
  <c r="K97" i="1" s="1"/>
  <c r="L97" i="1" s="1"/>
  <c r="J93" i="1"/>
  <c r="K93" i="1" s="1"/>
  <c r="L93" i="1" s="1"/>
  <c r="G88" i="1"/>
  <c r="H88" i="1" s="1"/>
  <c r="I88" i="1" s="1"/>
  <c r="J88" i="1" s="1"/>
  <c r="K88" i="1" s="1"/>
  <c r="L88" i="1" s="1"/>
  <c r="I87" i="1"/>
  <c r="J87" i="1" s="1"/>
  <c r="K87" i="1" s="1"/>
  <c r="L87" i="1" l="1"/>
  <c r="N44" i="1"/>
  <c r="B2" i="2"/>
  <c r="O16" i="1"/>
  <c r="J31" i="1"/>
  <c r="J33" i="1"/>
  <c r="J34" i="1"/>
  <c r="J35" i="1"/>
  <c r="J36" i="1"/>
  <c r="J37" i="1"/>
  <c r="J38" i="1"/>
  <c r="J39" i="1"/>
  <c r="J40" i="1"/>
  <c r="J41" i="1"/>
  <c r="J42" i="1"/>
  <c r="J43" i="1"/>
  <c r="J44" i="1" l="1"/>
  <c r="J30" i="1"/>
  <c r="P4" i="1" l="1"/>
  <c r="C26" i="2"/>
  <c r="C25" i="2"/>
  <c r="C24" i="2"/>
  <c r="C23" i="2"/>
  <c r="C22" i="2"/>
  <c r="H128" i="1"/>
  <c r="F128" i="1"/>
  <c r="E128" i="1"/>
  <c r="D128" i="1"/>
  <c r="C128" i="1"/>
  <c r="G115" i="1"/>
  <c r="G128" i="1" s="1"/>
  <c r="F113" i="1"/>
  <c r="G113" i="1" s="1"/>
  <c r="Q112" i="1"/>
  <c r="I112" i="1"/>
  <c r="H111" i="1"/>
  <c r="R110" i="1"/>
  <c r="Q110" i="1"/>
  <c r="I110" i="1"/>
  <c r="E110" i="1"/>
  <c r="Q108" i="1"/>
  <c r="I108" i="1"/>
  <c r="J108" i="1" s="1"/>
  <c r="K108" i="1" s="1"/>
  <c r="L108" i="1" s="1"/>
  <c r="Q107" i="1"/>
  <c r="I107" i="1"/>
  <c r="J107" i="1" s="1"/>
  <c r="K107" i="1" s="1"/>
  <c r="L107" i="1" s="1"/>
  <c r="Q106" i="1"/>
  <c r="I106" i="1"/>
  <c r="J106" i="1" s="1"/>
  <c r="K106" i="1" s="1"/>
  <c r="L106" i="1" s="1"/>
  <c r="H105" i="1"/>
  <c r="I105" i="1" s="1"/>
  <c r="J105" i="1" s="1"/>
  <c r="K105" i="1" s="1"/>
  <c r="L105" i="1" s="1"/>
  <c r="H104" i="1"/>
  <c r="Q104" i="1" s="1"/>
  <c r="Q103" i="1"/>
  <c r="I103" i="1"/>
  <c r="Q102" i="1"/>
  <c r="I102" i="1"/>
  <c r="R101" i="1"/>
  <c r="Q101" i="1"/>
  <c r="I101" i="1"/>
  <c r="J101" i="1" s="1"/>
  <c r="D101" i="1"/>
  <c r="P97" i="1"/>
  <c r="F91" i="1"/>
  <c r="I90" i="1"/>
  <c r="J90" i="1" s="1"/>
  <c r="K90" i="1" s="1"/>
  <c r="L90" i="1" s="1"/>
  <c r="F89" i="1"/>
  <c r="Q87" i="1"/>
  <c r="C87" i="1"/>
  <c r="D87" i="1" s="1"/>
  <c r="H71" i="1"/>
  <c r="G71" i="1"/>
  <c r="H70" i="1"/>
  <c r="G70" i="1"/>
  <c r="H69" i="1"/>
  <c r="G69" i="1"/>
  <c r="G68" i="1"/>
  <c r="H67" i="1"/>
  <c r="G67" i="1"/>
  <c r="H65" i="1"/>
  <c r="G65" i="1"/>
  <c r="H64" i="1"/>
  <c r="G64" i="1"/>
  <c r="H63" i="1"/>
  <c r="G63" i="1"/>
  <c r="H62" i="1"/>
  <c r="G62" i="1"/>
  <c r="H61" i="1"/>
  <c r="G61" i="1"/>
  <c r="T60" i="1"/>
  <c r="H60" i="1"/>
  <c r="G60" i="1"/>
  <c r="H59" i="1"/>
  <c r="G59" i="1"/>
  <c r="H58" i="1"/>
  <c r="G58" i="1"/>
  <c r="F58" i="1"/>
  <c r="E58" i="1"/>
  <c r="D58" i="1"/>
  <c r="C58" i="1"/>
  <c r="R46" i="1"/>
  <c r="R45" i="1"/>
  <c r="R43" i="1"/>
  <c r="I43" i="1"/>
  <c r="S46" i="1" s="1"/>
  <c r="H43" i="1"/>
  <c r="G43" i="1"/>
  <c r="F43" i="1"/>
  <c r="E43" i="1"/>
  <c r="D43" i="1"/>
  <c r="C43" i="1"/>
  <c r="I42" i="1"/>
  <c r="S45" i="1" s="1"/>
  <c r="H42" i="1"/>
  <c r="G42" i="1"/>
  <c r="F42" i="1"/>
  <c r="E42" i="1"/>
  <c r="D42" i="1"/>
  <c r="C42" i="1"/>
  <c r="I41" i="1"/>
  <c r="H41" i="1"/>
  <c r="G41" i="1"/>
  <c r="F41" i="1"/>
  <c r="E41" i="1"/>
  <c r="D41" i="1"/>
  <c r="C41" i="1"/>
  <c r="I40" i="1"/>
  <c r="G40" i="1"/>
  <c r="F40" i="1"/>
  <c r="E40" i="1"/>
  <c r="D40" i="1"/>
  <c r="C40" i="1"/>
  <c r="I39" i="1"/>
  <c r="H39" i="1"/>
  <c r="G39" i="1"/>
  <c r="D39" i="1"/>
  <c r="C39" i="1"/>
  <c r="I38" i="1"/>
  <c r="H38" i="1"/>
  <c r="G38" i="1"/>
  <c r="F38" i="1"/>
  <c r="E38" i="1"/>
  <c r="D38" i="1"/>
  <c r="C38" i="1"/>
  <c r="I37" i="1"/>
  <c r="H37" i="1"/>
  <c r="G37" i="1"/>
  <c r="F37" i="1"/>
  <c r="E37" i="1"/>
  <c r="D37" i="1"/>
  <c r="C37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I34" i="1"/>
  <c r="H34" i="1"/>
  <c r="G34" i="1"/>
  <c r="F34" i="1"/>
  <c r="E34" i="1"/>
  <c r="D34" i="1"/>
  <c r="C34" i="1"/>
  <c r="S33" i="1"/>
  <c r="I33" i="1"/>
  <c r="H33" i="1"/>
  <c r="G33" i="1"/>
  <c r="F33" i="1"/>
  <c r="E33" i="1"/>
  <c r="D33" i="1"/>
  <c r="C33" i="1"/>
  <c r="I32" i="1"/>
  <c r="H32" i="1"/>
  <c r="F32" i="1"/>
  <c r="E32" i="1"/>
  <c r="D32" i="1"/>
  <c r="C32" i="1"/>
  <c r="I31" i="1"/>
  <c r="S43" i="1" s="1"/>
  <c r="H31" i="1"/>
  <c r="G31" i="1"/>
  <c r="F31" i="1"/>
  <c r="E31" i="1"/>
  <c r="D31" i="1"/>
  <c r="C31" i="1"/>
  <c r="I30" i="1"/>
  <c r="O30" i="1" s="1"/>
  <c r="H30" i="1"/>
  <c r="G30" i="1"/>
  <c r="F30" i="1"/>
  <c r="E30" i="1"/>
  <c r="D30" i="1"/>
  <c r="C30" i="1"/>
  <c r="P29" i="1"/>
  <c r="P28" i="1"/>
  <c r="P27" i="1"/>
  <c r="S26" i="1"/>
  <c r="P26" i="1"/>
  <c r="P25" i="1"/>
  <c r="P24" i="1"/>
  <c r="P23" i="1"/>
  <c r="R22" i="1"/>
  <c r="P22" i="1"/>
  <c r="P21" i="1"/>
  <c r="P20" i="1"/>
  <c r="P19" i="1"/>
  <c r="P18" i="1"/>
  <c r="P17" i="1"/>
  <c r="J16" i="1"/>
  <c r="I16" i="1"/>
  <c r="F16" i="1"/>
  <c r="E16" i="1"/>
  <c r="D16" i="1"/>
  <c r="C16" i="1"/>
  <c r="P16" i="1" s="1"/>
  <c r="H11" i="1"/>
  <c r="H40" i="1" s="1"/>
  <c r="G3" i="1"/>
  <c r="G32" i="1" s="1"/>
  <c r="G91" i="1" l="1"/>
  <c r="H91" i="1" s="1"/>
  <c r="I91" i="1" s="1"/>
  <c r="J91" i="1" s="1"/>
  <c r="K91" i="1" s="1"/>
  <c r="L91" i="1" s="1"/>
  <c r="G89" i="1"/>
  <c r="H89" i="1"/>
  <c r="I89" i="1" s="1"/>
  <c r="P35" i="1"/>
  <c r="P37" i="1"/>
  <c r="P30" i="1"/>
  <c r="P38" i="1"/>
  <c r="P41" i="1"/>
  <c r="P32" i="1"/>
  <c r="P39" i="1"/>
  <c r="O100" i="1"/>
  <c r="D44" i="1"/>
  <c r="C100" i="1"/>
  <c r="P36" i="1"/>
  <c r="C44" i="1"/>
  <c r="E44" i="1"/>
  <c r="F44" i="1"/>
  <c r="P42" i="1"/>
  <c r="P34" i="1"/>
  <c r="Q115" i="1"/>
  <c r="B4" i="2"/>
  <c r="C28" i="2" s="1"/>
  <c r="S44" i="1"/>
  <c r="P40" i="1"/>
  <c r="H44" i="1"/>
  <c r="E87" i="1"/>
  <c r="D100" i="1"/>
  <c r="R113" i="1"/>
  <c r="H113" i="1"/>
  <c r="H114" i="1" s="1"/>
  <c r="T114" i="1" s="1"/>
  <c r="G44" i="1"/>
  <c r="P33" i="1"/>
  <c r="Q105" i="1"/>
  <c r="Q111" i="1"/>
  <c r="I44" i="1"/>
  <c r="O44" i="1" s="1"/>
  <c r="G16" i="1"/>
  <c r="P43" i="1"/>
  <c r="H16" i="1"/>
  <c r="P31" i="1"/>
  <c r="I104" i="1"/>
  <c r="J104" i="1" s="1"/>
  <c r="K104" i="1" s="1"/>
  <c r="L104" i="1" s="1"/>
  <c r="J89" i="1" l="1"/>
  <c r="I100" i="1"/>
  <c r="P102" i="1"/>
  <c r="P88" i="1"/>
  <c r="P89" i="1"/>
  <c r="B5" i="2"/>
  <c r="B3" i="2"/>
  <c r="P44" i="1"/>
  <c r="F87" i="1"/>
  <c r="E100" i="1"/>
  <c r="Q113" i="1"/>
  <c r="I113" i="1"/>
  <c r="K89" i="1" l="1"/>
  <c r="J100" i="1"/>
  <c r="I114" i="1"/>
  <c r="J113" i="1"/>
  <c r="Q114" i="1"/>
  <c r="P114" i="1"/>
  <c r="G87" i="1"/>
  <c r="F100" i="1"/>
  <c r="L89" i="1" l="1"/>
  <c r="L100" i="1" s="1"/>
  <c r="K100" i="1"/>
  <c r="K113" i="1"/>
  <c r="J114" i="1"/>
  <c r="G100" i="1"/>
  <c r="H87" i="1"/>
  <c r="H100" i="1" s="1"/>
  <c r="K114" i="1" l="1"/>
  <c r="L113" i="1"/>
  <c r="L114" i="1" s="1"/>
  <c r="Q100" i="1"/>
  <c r="P100" i="1"/>
</calcChain>
</file>

<file path=xl/sharedStrings.xml><?xml version="1.0" encoding="utf-8"?>
<sst xmlns="http://schemas.openxmlformats.org/spreadsheetml/2006/main" count="336" uniqueCount="85">
  <si>
    <t>Type</t>
  </si>
  <si>
    <t>Campus affiliation</t>
  </si>
  <si>
    <t>FY2014-15</t>
  </si>
  <si>
    <t>FY2015-16</t>
  </si>
  <si>
    <t>FY2016-17</t>
  </si>
  <si>
    <t>FY2017-18</t>
  </si>
  <si>
    <t>FY2018-19</t>
  </si>
  <si>
    <t>FY2019-20</t>
  </si>
  <si>
    <t>FY2020-21</t>
  </si>
  <si>
    <t>FY2021-22</t>
  </si>
  <si>
    <t>FY2022-23</t>
  </si>
  <si>
    <t>FY2023-24</t>
  </si>
  <si>
    <t>FY2024-25</t>
  </si>
  <si>
    <t>Production (kWh)</t>
  </si>
  <si>
    <t>UH Manoa</t>
  </si>
  <si>
    <t>Honolulu CC</t>
  </si>
  <si>
    <t>Dan Burris</t>
  </si>
  <si>
    <t>Kapiolani CC</t>
  </si>
  <si>
    <t>Leeward CC</t>
  </si>
  <si>
    <t>Windward CC</t>
  </si>
  <si>
    <t>Hawaii CC (Palamanui)</t>
  </si>
  <si>
    <t>one inverter down</t>
  </si>
  <si>
    <t>Hawaii CC (Manono)</t>
  </si>
  <si>
    <t>campus not recording SMA</t>
  </si>
  <si>
    <t>Hawaii CC (NHERC)</t>
  </si>
  <si>
    <t>no monitoring</t>
  </si>
  <si>
    <t>CC Admin Office</t>
  </si>
  <si>
    <t>Maui CC (Molokai)</t>
  </si>
  <si>
    <t>science building and vocational down</t>
  </si>
  <si>
    <t>Bryan Hieda IT</t>
  </si>
  <si>
    <t>Kauai CC</t>
  </si>
  <si>
    <t>Started producingin May.  Fred go systm back up.</t>
  </si>
  <si>
    <t>UH Hilo</t>
  </si>
  <si>
    <t>UH West Oahu</t>
  </si>
  <si>
    <t>Production is dropping.  Need Maintenance</t>
  </si>
  <si>
    <t>UH West Oahu Mauka</t>
  </si>
  <si>
    <t>Total</t>
  </si>
  <si>
    <t>ALL</t>
  </si>
  <si>
    <t>Utility Provided (kWh)</t>
  </si>
  <si>
    <t>UH Hawaii Community College</t>
  </si>
  <si>
    <t>UH Honolulu CC</t>
  </si>
  <si>
    <t>UH Kapiolani CC</t>
  </si>
  <si>
    <t>UH Leeward CC</t>
  </si>
  <si>
    <t>Total Consumption (kWh)</t>
  </si>
  <si>
    <t>UH Maui</t>
  </si>
  <si>
    <t>UH Maui College</t>
  </si>
  <si>
    <t>UH West Hawaii</t>
  </si>
  <si>
    <t>UH Windward CC</t>
  </si>
  <si>
    <t>CC</t>
  </si>
  <si>
    <t>$$ spent on utility energy ($)</t>
  </si>
  <si>
    <t>Blended Utility Rate</t>
  </si>
  <si>
    <t>$$ spent on PPA ($$)</t>
  </si>
  <si>
    <t>kWh saved from Efficiency projects (kWh)</t>
  </si>
  <si>
    <t xml:space="preserve">Total </t>
  </si>
  <si>
    <t>kW DC installed capacity (kW DC)</t>
  </si>
  <si>
    <t xml:space="preserve">Win CC 1461.70 , LSB 84.5 in FY20-21, Bachman 46.98, and Gym 1&amp;2 324.29 FY24-25 </t>
  </si>
  <si>
    <t>1580 added in FY20-21</t>
  </si>
  <si>
    <t>additoinl 100kW on CMA in FY 20-21</t>
  </si>
  <si>
    <r>
      <rPr>
        <sz val="11"/>
        <color rgb="FF262626"/>
        <rFont val="Calibri"/>
        <family val="2"/>
      </rPr>
      <t>Sq footage of built space (ft</t>
    </r>
    <r>
      <rPr>
        <vertAlign val="superscript"/>
        <sz val="11"/>
        <color rgb="FF262626"/>
        <rFont val="Calibri"/>
        <family val="2"/>
      </rPr>
      <t>2</t>
    </r>
    <r>
      <rPr>
        <sz val="11"/>
        <color rgb="FF262626"/>
        <rFont val="Calibri"/>
        <family val="2"/>
      </rPr>
      <t>)</t>
    </r>
  </si>
  <si>
    <t>UH Manoa (includes Off sites)</t>
  </si>
  <si>
    <t>from modified 5020</t>
  </si>
  <si>
    <t>From Google sheethttps://docs.google.com/spreadsheets/d/1JZnbPwl5rJvr4w0nclI1V10KD5UqYIIns0VyG5HyNbA/edit#gid=0</t>
  </si>
  <si>
    <t>Google sheet</t>
  </si>
  <si>
    <t>Google sheet All HAW campuses combined</t>
  </si>
  <si>
    <t>Modified 5020</t>
  </si>
  <si>
    <t>Modified 5020, in Manoa #</t>
  </si>
  <si>
    <t>Maui CC (includes Molokai)</t>
  </si>
  <si>
    <t>Google sheet matches Modified 5020</t>
  </si>
  <si>
    <t>goal</t>
  </si>
  <si>
    <t>kWh</t>
  </si>
  <si>
    <t>produced</t>
  </si>
  <si>
    <t>remaining</t>
  </si>
  <si>
    <t>amount net zero</t>
  </si>
  <si>
    <t>Check for curtailed energy</t>
  </si>
  <si>
    <t>FY 2015</t>
  </si>
  <si>
    <t>% change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</si>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</sst>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FF0000"/>
      <name val="Calibri"/>
      <family val="2"/>
    </font>
    <font>
      <b/>
      <sz val="11"/>
      <color rgb="FF006100"/>
      <name val="Calibri"/>
      <family val="2"/>
    </font>
    <font>
      <b/>
      <sz val="11"/>
      <color rgb="FF9C6500"/>
      <name val="Calibri"/>
      <family val="2"/>
    </font>
    <font>
      <sz val="11"/>
      <color rgb="FF9C6500"/>
      <name val="Calibri"/>
      <family val="2"/>
    </font>
    <font>
      <sz val="9"/>
      <color rgb="FF333333"/>
      <name val="Arial"/>
      <family val="2"/>
    </font>
    <font>
      <sz val="9"/>
      <color rgb="FF666666"/>
      <name val="Arial"/>
      <family val="2"/>
    </font>
    <font>
      <sz val="9"/>
      <color rgb="FFFF0000"/>
      <name val="Arial"/>
      <family val="2"/>
    </font>
    <font>
      <sz val="11"/>
      <color rgb="FFFA7D00"/>
      <name val="Calibri"/>
      <family val="2"/>
    </font>
    <font>
      <b/>
      <sz val="11"/>
      <color rgb="FFFA7D00"/>
      <name val="Calibri"/>
      <family val="2"/>
    </font>
    <font>
      <sz val="11"/>
      <color rgb="FF9C0006"/>
      <name val="Calibri"/>
      <family val="2"/>
    </font>
    <font>
      <b/>
      <sz val="11"/>
      <color rgb="FF26262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262626"/>
      <name val="Calibri"/>
      <family val="2"/>
    </font>
    <font>
      <sz val="11"/>
      <color theme="0"/>
      <name val="Calibri"/>
      <family val="2"/>
    </font>
    <font>
      <vertAlign val="superscript"/>
      <sz val="11"/>
      <color rgb="FF262626"/>
      <name val="Calibri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ourie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theme="4"/>
        <bgColor theme="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6">
    <xf numFmtId="0" fontId="0" fillId="0" borderId="0"/>
    <xf numFmtId="43" fontId="20" fillId="0" borderId="0" applyFont="0" applyFill="0" applyBorder="0" applyAlignment="0" applyProtection="0"/>
    <xf numFmtId="0" fontId="21" fillId="10" borderId="0" applyNumberFormat="0" applyBorder="0" applyAlignment="0" applyProtection="0"/>
    <xf numFmtId="9" fontId="22" fillId="0" borderId="0" applyFont="0" applyFill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0" borderId="8"/>
    <xf numFmtId="44" fontId="26" fillId="0" borderId="0" applyFont="0" applyFill="0" applyBorder="0" applyAlignment="0" applyProtection="0"/>
    <xf numFmtId="0" fontId="1" fillId="0" borderId="8"/>
    <xf numFmtId="0" fontId="27" fillId="0" borderId="8"/>
    <xf numFmtId="0" fontId="25" fillId="0" borderId="8"/>
    <xf numFmtId="44" fontId="25" fillId="0" borderId="8" applyFont="0" applyFill="0" applyBorder="0" applyAlignment="0" applyProtection="0"/>
    <xf numFmtId="43" fontId="25" fillId="0" borderId="8" applyFont="0" applyFill="0" applyBorder="0" applyAlignment="0" applyProtection="0"/>
    <xf numFmtId="0" fontId="25" fillId="0" borderId="8"/>
    <xf numFmtId="44" fontId="25" fillId="0" borderId="8" applyFont="0" applyFill="0" applyBorder="0" applyAlignment="0" applyProtection="0"/>
    <xf numFmtId="43" fontId="1" fillId="0" borderId="8" applyFont="0" applyFill="0" applyBorder="0" applyAlignment="0" applyProtection="0"/>
  </cellStyleXfs>
  <cellXfs count="144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2" borderId="1" xfId="0" applyFont="1" applyFill="1" applyBorder="1"/>
    <xf numFmtId="164" fontId="3" fillId="2" borderId="1" xfId="0" applyNumberFormat="1" applyFont="1" applyFill="1" applyBorder="1"/>
    <xf numFmtId="164" fontId="4" fillId="2" borderId="1" xfId="0" applyNumberFormat="1" applyFont="1" applyFill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164" fontId="5" fillId="2" borderId="4" xfId="0" applyNumberFormat="1" applyFont="1" applyFill="1" applyBorder="1"/>
    <xf numFmtId="9" fontId="6" fillId="3" borderId="6" xfId="0" applyNumberFormat="1" applyFont="1" applyFill="1" applyBorder="1"/>
    <xf numFmtId="0" fontId="7" fillId="3" borderId="7" xfId="0" applyFont="1" applyFill="1" applyBorder="1"/>
    <xf numFmtId="164" fontId="7" fillId="3" borderId="7" xfId="0" applyNumberFormat="1" applyFont="1" applyFill="1" applyBorder="1"/>
    <xf numFmtId="164" fontId="7" fillId="3" borderId="8" xfId="0" applyNumberFormat="1" applyFont="1" applyFill="1" applyBorder="1"/>
    <xf numFmtId="43" fontId="2" fillId="0" borderId="0" xfId="0" applyNumberFormat="1" applyFont="1"/>
    <xf numFmtId="0" fontId="7" fillId="3" borderId="1" xfId="0" applyFont="1" applyFill="1" applyBorder="1"/>
    <xf numFmtId="164" fontId="7" fillId="3" borderId="1" xfId="0" applyNumberFormat="1" applyFont="1" applyFill="1" applyBorder="1"/>
    <xf numFmtId="43" fontId="8" fillId="0" borderId="0" xfId="0" applyNumberFormat="1" applyFont="1" applyAlignment="1">
      <alignment vertical="center"/>
    </xf>
    <xf numFmtId="164" fontId="2" fillId="0" borderId="0" xfId="0" applyNumberFormat="1" applyFont="1"/>
    <xf numFmtId="0" fontId="9" fillId="0" borderId="0" xfId="0" quotePrefix="1" applyFont="1" applyAlignment="1">
      <alignment horizontal="left" vertical="top"/>
    </xf>
    <xf numFmtId="0" fontId="7" fillId="3" borderId="2" xfId="0" applyFont="1" applyFill="1" applyBorder="1"/>
    <xf numFmtId="164" fontId="7" fillId="3" borderId="2" xfId="0" applyNumberFormat="1" applyFont="1" applyFill="1" applyBorder="1"/>
    <xf numFmtId="0" fontId="6" fillId="3" borderId="3" xfId="0" applyFont="1" applyFill="1" applyBorder="1"/>
    <xf numFmtId="0" fontId="6" fillId="3" borderId="4" xfId="0" applyFont="1" applyFill="1" applyBorder="1"/>
    <xf numFmtId="164" fontId="6" fillId="3" borderId="4" xfId="0" applyNumberFormat="1" applyFont="1" applyFill="1" applyBorder="1"/>
    <xf numFmtId="43" fontId="10" fillId="0" borderId="0" xfId="0" applyNumberFormat="1" applyFont="1" applyAlignment="1">
      <alignment vertical="center"/>
    </xf>
    <xf numFmtId="0" fontId="11" fillId="4" borderId="7" xfId="0" applyFont="1" applyFill="1" applyBorder="1"/>
    <xf numFmtId="164" fontId="11" fillId="4" borderId="7" xfId="0" applyNumberFormat="1" applyFont="1" applyFill="1" applyBorder="1"/>
    <xf numFmtId="9" fontId="2" fillId="0" borderId="1" xfId="0" applyNumberFormat="1" applyFont="1" applyBorder="1"/>
    <xf numFmtId="0" fontId="11" fillId="4" borderId="1" xfId="0" applyFont="1" applyFill="1" applyBorder="1"/>
    <xf numFmtId="164" fontId="11" fillId="4" borderId="1" xfId="0" applyNumberFormat="1" applyFont="1" applyFill="1" applyBorder="1"/>
    <xf numFmtId="43" fontId="2" fillId="0" borderId="1" xfId="0" applyNumberFormat="1" applyFont="1" applyBorder="1"/>
    <xf numFmtId="0" fontId="11" fillId="4" borderId="2" xfId="0" applyFont="1" applyFill="1" applyBorder="1"/>
    <xf numFmtId="164" fontId="11" fillId="4" borderId="2" xfId="0" applyNumberFormat="1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164" fontId="12" fillId="4" borderId="4" xfId="0" applyNumberFormat="1" applyFont="1" applyFill="1" applyBorder="1"/>
    <xf numFmtId="164" fontId="12" fillId="4" borderId="5" xfId="0" applyNumberFormat="1" applyFont="1" applyFill="1" applyBorder="1"/>
    <xf numFmtId="0" fontId="13" fillId="5" borderId="7" xfId="0" applyFont="1" applyFill="1" applyBorder="1"/>
    <xf numFmtId="164" fontId="13" fillId="5" borderId="7" xfId="0" applyNumberFormat="1" applyFont="1" applyFill="1" applyBorder="1"/>
    <xf numFmtId="44" fontId="13" fillId="5" borderId="7" xfId="0" applyNumberFormat="1" applyFont="1" applyFill="1" applyBorder="1"/>
    <xf numFmtId="0" fontId="13" fillId="5" borderId="1" xfId="0" applyFont="1" applyFill="1" applyBorder="1"/>
    <xf numFmtId="164" fontId="13" fillId="5" borderId="1" xfId="0" applyNumberFormat="1" applyFont="1" applyFill="1" applyBorder="1"/>
    <xf numFmtId="44" fontId="13" fillId="5" borderId="1" xfId="0" applyNumberFormat="1" applyFont="1" applyFill="1" applyBorder="1"/>
    <xf numFmtId="44" fontId="2" fillId="0" borderId="1" xfId="0" applyNumberFormat="1" applyFont="1" applyBorder="1"/>
    <xf numFmtId="44" fontId="7" fillId="3" borderId="1" xfId="0" applyNumberFormat="1" applyFont="1" applyFill="1" applyBorder="1"/>
    <xf numFmtId="0" fontId="14" fillId="6" borderId="1" xfId="0" applyFont="1" applyFill="1" applyBorder="1"/>
    <xf numFmtId="164" fontId="15" fillId="6" borderId="1" xfId="0" applyNumberFormat="1" applyFont="1" applyFill="1" applyBorder="1"/>
    <xf numFmtId="0" fontId="2" fillId="7" borderId="1" xfId="0" applyFont="1" applyFill="1" applyBorder="1"/>
    <xf numFmtId="164" fontId="2" fillId="7" borderId="1" xfId="0" applyNumberFormat="1" applyFont="1" applyFill="1" applyBorder="1"/>
    <xf numFmtId="43" fontId="2" fillId="7" borderId="1" xfId="0" applyNumberFormat="1" applyFont="1" applyFill="1" applyBorder="1"/>
    <xf numFmtId="0" fontId="2" fillId="7" borderId="2" xfId="0" applyFont="1" applyFill="1" applyBorder="1"/>
    <xf numFmtId="164" fontId="2" fillId="7" borderId="2" xfId="0" applyNumberFormat="1" applyFont="1" applyFill="1" applyBorder="1"/>
    <xf numFmtId="0" fontId="16" fillId="7" borderId="3" xfId="0" applyFont="1" applyFill="1" applyBorder="1"/>
    <xf numFmtId="0" fontId="16" fillId="7" borderId="4" xfId="0" applyFont="1" applyFill="1" applyBorder="1"/>
    <xf numFmtId="164" fontId="16" fillId="7" borderId="4" xfId="0" applyNumberFormat="1" applyFont="1" applyFill="1" applyBorder="1"/>
    <xf numFmtId="164" fontId="16" fillId="7" borderId="5" xfId="0" applyNumberFormat="1" applyFont="1" applyFill="1" applyBorder="1"/>
    <xf numFmtId="0" fontId="17" fillId="8" borderId="7" xfId="0" applyFont="1" applyFill="1" applyBorder="1"/>
    <xf numFmtId="164" fontId="18" fillId="8" borderId="1" xfId="0" applyNumberFormat="1" applyFont="1" applyFill="1" applyBorder="1"/>
    <xf numFmtId="164" fontId="18" fillId="8" borderId="7" xfId="0" applyNumberFormat="1" applyFont="1" applyFill="1" applyBorder="1"/>
    <xf numFmtId="0" fontId="17" fillId="8" borderId="1" xfId="0" applyFont="1" applyFill="1" applyBorder="1"/>
    <xf numFmtId="164" fontId="2" fillId="8" borderId="1" xfId="0" applyNumberFormat="1" applyFont="1" applyFill="1" applyBorder="1"/>
    <xf numFmtId="0" fontId="14" fillId="8" borderId="1" xfId="0" applyFont="1" applyFill="1" applyBorder="1"/>
    <xf numFmtId="164" fontId="15" fillId="8" borderId="1" xfId="0" applyNumberFormat="1" applyFont="1" applyFill="1" applyBorder="1"/>
    <xf numFmtId="0" fontId="17" fillId="9" borderId="1" xfId="0" applyFont="1" applyFill="1" applyBorder="1"/>
    <xf numFmtId="164" fontId="17" fillId="9" borderId="1" xfId="0" applyNumberFormat="1" applyFont="1" applyFill="1" applyBorder="1"/>
    <xf numFmtId="164" fontId="4" fillId="9" borderId="1" xfId="0" applyNumberFormat="1" applyFont="1" applyFill="1" applyBorder="1"/>
    <xf numFmtId="164" fontId="2" fillId="9" borderId="1" xfId="0" applyNumberFormat="1" applyFont="1" applyFill="1" applyBorder="1"/>
    <xf numFmtId="0" fontId="16" fillId="0" borderId="1" xfId="0" applyFont="1" applyBorder="1"/>
    <xf numFmtId="164" fontId="16" fillId="0" borderId="1" xfId="0" applyNumberFormat="1" applyFont="1" applyBorder="1"/>
    <xf numFmtId="10" fontId="2" fillId="0" borderId="0" xfId="0" applyNumberFormat="1" applyFont="1"/>
    <xf numFmtId="9" fontId="2" fillId="0" borderId="0" xfId="0" applyNumberFormat="1" applyFont="1"/>
    <xf numFmtId="164" fontId="21" fillId="10" borderId="8" xfId="2" applyNumberFormat="1" applyBorder="1"/>
    <xf numFmtId="164" fontId="21" fillId="10" borderId="10" xfId="2" applyNumberFormat="1" applyBorder="1"/>
    <xf numFmtId="10" fontId="0" fillId="0" borderId="0" xfId="3" applyNumberFormat="1" applyFont="1" applyAlignment="1"/>
    <xf numFmtId="9" fontId="0" fillId="0" borderId="0" xfId="3" applyFont="1" applyAlignment="1"/>
    <xf numFmtId="164" fontId="0" fillId="0" borderId="0" xfId="1" applyNumberFormat="1" applyFont="1" applyAlignment="1"/>
    <xf numFmtId="164" fontId="6" fillId="3" borderId="6" xfId="0" applyNumberFormat="1" applyFont="1" applyFill="1" applyBorder="1"/>
    <xf numFmtId="164" fontId="3" fillId="2" borderId="11" xfId="0" applyNumberFormat="1" applyFont="1" applyFill="1" applyBorder="1"/>
    <xf numFmtId="0" fontId="4" fillId="2" borderId="9" xfId="0" applyFont="1" applyFill="1" applyBorder="1"/>
    <xf numFmtId="164" fontId="2" fillId="0" borderId="2" xfId="0" applyNumberFormat="1" applyFont="1" applyBorder="1"/>
    <xf numFmtId="164" fontId="3" fillId="2" borderId="10" xfId="0" applyNumberFormat="1" applyFont="1" applyFill="1" applyBorder="1"/>
    <xf numFmtId="38" fontId="3" fillId="2" borderId="10" xfId="0" applyNumberFormat="1" applyFont="1" applyFill="1" applyBorder="1"/>
    <xf numFmtId="3" fontId="23" fillId="11" borderId="10" xfId="4" applyNumberFormat="1" applyBorder="1" applyAlignment="1">
      <alignment wrapText="1"/>
    </xf>
    <xf numFmtId="164" fontId="23" fillId="11" borderId="10" xfId="4" applyNumberFormat="1" applyBorder="1" applyAlignment="1"/>
    <xf numFmtId="0" fontId="0" fillId="0" borderId="8" xfId="0" applyBorder="1"/>
    <xf numFmtId="0" fontId="3" fillId="2" borderId="9" xfId="0" applyFont="1" applyFill="1" applyBorder="1"/>
    <xf numFmtId="43" fontId="3" fillId="2" borderId="9" xfId="1" applyFont="1" applyFill="1" applyBorder="1"/>
    <xf numFmtId="0" fontId="24" fillId="12" borderId="9" xfId="5" applyBorder="1"/>
    <xf numFmtId="164" fontId="4" fillId="2" borderId="9" xfId="0" applyNumberFormat="1" applyFont="1" applyFill="1" applyBorder="1"/>
    <xf numFmtId="9" fontId="3" fillId="2" borderId="9" xfId="0" applyNumberFormat="1" applyFont="1" applyFill="1" applyBorder="1"/>
    <xf numFmtId="9" fontId="6" fillId="3" borderId="10" xfId="0" applyNumberFormat="1" applyFont="1" applyFill="1" applyBorder="1"/>
    <xf numFmtId="164" fontId="7" fillId="3" borderId="13" xfId="0" applyNumberFormat="1" applyFont="1" applyFill="1" applyBorder="1"/>
    <xf numFmtId="164" fontId="7" fillId="3" borderId="11" xfId="0" applyNumberFormat="1" applyFont="1" applyFill="1" applyBorder="1"/>
    <xf numFmtId="164" fontId="7" fillId="3" borderId="12" xfId="0" applyNumberFormat="1" applyFont="1" applyFill="1" applyBorder="1"/>
    <xf numFmtId="0" fontId="4" fillId="2" borderId="14" xfId="0" applyFont="1" applyFill="1" applyBorder="1"/>
    <xf numFmtId="164" fontId="3" fillId="2" borderId="14" xfId="0" applyNumberFormat="1" applyFont="1" applyFill="1" applyBorder="1"/>
    <xf numFmtId="164" fontId="5" fillId="2" borderId="14" xfId="0" applyNumberFormat="1" applyFont="1" applyFill="1" applyBorder="1"/>
    <xf numFmtId="164" fontId="4" fillId="2" borderId="10" xfId="0" applyNumberFormat="1" applyFont="1" applyFill="1" applyBorder="1"/>
    <xf numFmtId="38" fontId="23" fillId="11" borderId="10" xfId="4" applyNumberFormat="1" applyBorder="1"/>
    <xf numFmtId="164" fontId="7" fillId="3" borderId="10" xfId="0" applyNumberFormat="1" applyFont="1" applyFill="1" applyBorder="1"/>
    <xf numFmtId="164" fontId="4" fillId="3" borderId="10" xfId="0" applyNumberFormat="1" applyFont="1" applyFill="1" applyBorder="1"/>
    <xf numFmtId="164" fontId="7" fillId="3" borderId="15" xfId="0" applyNumberFormat="1" applyFont="1" applyFill="1" applyBorder="1"/>
    <xf numFmtId="164" fontId="21" fillId="10" borderId="15" xfId="2" applyNumberFormat="1" applyBorder="1"/>
    <xf numFmtId="164" fontId="7" fillId="3" borderId="16" xfId="0" applyNumberFormat="1" applyFont="1" applyFill="1" applyBorder="1"/>
    <xf numFmtId="164" fontId="21" fillId="10" borderId="16" xfId="2" applyNumberFormat="1" applyBorder="1"/>
    <xf numFmtId="164" fontId="5" fillId="2" borderId="17" xfId="0" applyNumberFormat="1" applyFont="1" applyFill="1" applyBorder="1"/>
    <xf numFmtId="164" fontId="5" fillId="2" borderId="18" xfId="0" applyNumberFormat="1" applyFont="1" applyFill="1" applyBorder="1"/>
    <xf numFmtId="164" fontId="5" fillId="2" borderId="19" xfId="0" applyNumberFormat="1" applyFont="1" applyFill="1" applyBorder="1"/>
    <xf numFmtId="164" fontId="3" fillId="2" borderId="20" xfId="0" applyNumberFormat="1" applyFont="1" applyFill="1" applyBorder="1"/>
    <xf numFmtId="164" fontId="3" fillId="2" borderId="21" xfId="0" applyNumberFormat="1" applyFont="1" applyFill="1" applyBorder="1"/>
    <xf numFmtId="164" fontId="3" fillId="2" borderId="15" xfId="0" applyNumberFormat="1" applyFont="1" applyFill="1" applyBorder="1"/>
    <xf numFmtId="164" fontId="6" fillId="3" borderId="22" xfId="0" applyNumberFormat="1" applyFont="1" applyFill="1" applyBorder="1"/>
    <xf numFmtId="164" fontId="6" fillId="3" borderId="19" xfId="0" applyNumberFormat="1" applyFont="1" applyFill="1" applyBorder="1"/>
    <xf numFmtId="44" fontId="7" fillId="3" borderId="7" xfId="0" applyNumberFormat="1" applyFont="1" applyFill="1" applyBorder="1"/>
    <xf numFmtId="0" fontId="13" fillId="5" borderId="20" xfId="0" applyFont="1" applyFill="1" applyBorder="1"/>
    <xf numFmtId="164" fontId="13" fillId="5" borderId="20" xfId="0" applyNumberFormat="1" applyFont="1" applyFill="1" applyBorder="1"/>
    <xf numFmtId="44" fontId="13" fillId="5" borderId="20" xfId="0" applyNumberFormat="1" applyFont="1" applyFill="1" applyBorder="1"/>
    <xf numFmtId="0" fontId="13" fillId="5" borderId="17" xfId="0" applyFont="1" applyFill="1" applyBorder="1"/>
    <xf numFmtId="164" fontId="13" fillId="5" borderId="17" xfId="0" applyNumberFormat="1" applyFont="1" applyFill="1" applyBorder="1"/>
    <xf numFmtId="44" fontId="13" fillId="5" borderId="17" xfId="0" applyNumberFormat="1" applyFont="1" applyFill="1" applyBorder="1"/>
    <xf numFmtId="44" fontId="13" fillId="5" borderId="20" xfId="7" applyFont="1" applyFill="1" applyBorder="1"/>
    <xf numFmtId="38" fontId="3" fillId="2" borderId="14" xfId="0" applyNumberFormat="1" applyFont="1" applyFill="1" applyBorder="1"/>
    <xf numFmtId="38" fontId="23" fillId="11" borderId="14" xfId="4" applyNumberFormat="1" applyBorder="1"/>
    <xf numFmtId="164" fontId="23" fillId="11" borderId="14" xfId="4" applyNumberFormat="1" applyBorder="1" applyAlignment="1"/>
    <xf numFmtId="164" fontId="3" fillId="2" borderId="23" xfId="0" applyNumberFormat="1" applyFont="1" applyFill="1" applyBorder="1"/>
    <xf numFmtId="44" fontId="13" fillId="5" borderId="2" xfId="7" applyFont="1" applyFill="1" applyBorder="1"/>
    <xf numFmtId="0" fontId="3" fillId="2" borderId="25" xfId="0" applyFont="1" applyFill="1" applyBorder="1"/>
    <xf numFmtId="164" fontId="3" fillId="2" borderId="25" xfId="0" applyNumberFormat="1" applyFont="1" applyFill="1" applyBorder="1"/>
    <xf numFmtId="164" fontId="3" fillId="2" borderId="17" xfId="0" applyNumberFormat="1" applyFont="1" applyFill="1" applyBorder="1"/>
    <xf numFmtId="164" fontId="3" fillId="2" borderId="18" xfId="0" applyNumberFormat="1" applyFont="1" applyFill="1" applyBorder="1"/>
    <xf numFmtId="164" fontId="3" fillId="2" borderId="19" xfId="0" applyNumberFormat="1" applyFont="1" applyFill="1" applyBorder="1"/>
    <xf numFmtId="164" fontId="3" fillId="2" borderId="24" xfId="0" applyNumberFormat="1" applyFont="1" applyFill="1" applyBorder="1"/>
    <xf numFmtId="9" fontId="11" fillId="4" borderId="7" xfId="3" applyFont="1" applyFill="1" applyBorder="1"/>
    <xf numFmtId="6" fontId="13" fillId="5" borderId="1" xfId="0" applyNumberFormat="1" applyFont="1" applyFill="1" applyBorder="1"/>
    <xf numFmtId="9" fontId="2" fillId="0" borderId="9" xfId="3" applyFont="1" applyBorder="1"/>
    <xf numFmtId="9" fontId="2" fillId="0" borderId="1" xfId="3" applyFont="1" applyBorder="1"/>
    <xf numFmtId="164" fontId="5" fillId="2" borderId="24" xfId="0" applyNumberFormat="1" applyFont="1" applyFill="1" applyBorder="1"/>
    <xf numFmtId="164" fontId="6" fillId="3" borderId="8" xfId="0" applyNumberFormat="1" applyFont="1" applyFill="1" applyBorder="1"/>
    <xf numFmtId="164" fontId="11" fillId="4" borderId="25" xfId="0" applyNumberFormat="1" applyFont="1" applyFill="1" applyBorder="1"/>
    <xf numFmtId="164" fontId="12" fillId="4" borderId="26" xfId="0" applyNumberFormat="1" applyFont="1" applyFill="1" applyBorder="1"/>
    <xf numFmtId="44" fontId="13" fillId="5" borderId="25" xfId="0" applyNumberFormat="1" applyFont="1" applyFill="1" applyBorder="1"/>
    <xf numFmtId="0" fontId="1" fillId="0" borderId="0" xfId="0" applyFont="1"/>
  </cellXfs>
  <cellStyles count="16">
    <cellStyle name="Bad" xfId="5" builtinId="27"/>
    <cellStyle name="Comma" xfId="1" builtinId="3"/>
    <cellStyle name="Comma 2" xfId="12" xr:uid="{00000000-0005-0000-0000-000002000000}"/>
    <cellStyle name="Comma 3" xfId="15" xr:uid="{00000000-0005-0000-0000-000003000000}"/>
    <cellStyle name="Currency" xfId="7" builtinId="4"/>
    <cellStyle name="Currency 2" xfId="14" xr:uid="{00000000-0005-0000-0000-000005000000}"/>
    <cellStyle name="Currency 3" xfId="11" xr:uid="{00000000-0005-0000-0000-000006000000}"/>
    <cellStyle name="Good" xfId="4" builtinId="26"/>
    <cellStyle name="Neutral" xfId="2" builtinId="28"/>
    <cellStyle name="Normal" xfId="0" builtinId="0"/>
    <cellStyle name="Normal 2" xfId="8" xr:uid="{00000000-0005-0000-0000-00000A000000}"/>
    <cellStyle name="Normal 2 2" xfId="6" xr:uid="{00000000-0005-0000-0000-00000B000000}"/>
    <cellStyle name="Normal 3" xfId="10" xr:uid="{00000000-0005-0000-0000-00000C000000}"/>
    <cellStyle name="Normal 6" xfId="13" xr:uid="{00000000-0005-0000-0000-00000D000000}"/>
    <cellStyle name="Normal 9" xfId="9" xr:uid="{00000000-0005-0000-0000-00000E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F8EC-42C4-AF82-5F3B8EB369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F8EC-42C4-AF82-5F3B8EB369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F8EC-42C4-AF82-5F3B8EB369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F8EC-42C4-AF82-5F3B8EB369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F8EC-42C4-AF82-5F3B8EB369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F8EC-42C4-AF82-5F3B8EB369E3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F8EC-42C4-AF82-5F3B8EB369E3}"/>
              </c:ext>
            </c:extLst>
          </c:dPt>
          <c:dPt>
            <c:idx val="7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F-F8EC-42C4-AF82-5F3B8EB369E3}"/>
              </c:ext>
            </c:extLst>
          </c:dPt>
          <c:dPt>
            <c:idx val="8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1-F8EC-42C4-AF82-5F3B8EB369E3}"/>
              </c:ext>
            </c:extLst>
          </c:dPt>
          <c:dPt>
            <c:idx val="9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3-F8EC-42C4-AF82-5F3B8EB369E3}"/>
              </c:ext>
            </c:extLst>
          </c:dPt>
          <c:dPt>
            <c:idx val="10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15-F8EC-42C4-AF82-5F3B8EB369E3}"/>
              </c:ext>
            </c:extLst>
          </c:dPt>
          <c:dPt>
            <c:idx val="11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17-F8EC-42C4-AF82-5F3B8EB369E3}"/>
              </c:ext>
            </c:extLst>
          </c:dPt>
          <c:dPt>
            <c:idx val="1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9-F8EC-42C4-AF82-5F3B8EB369E3}"/>
              </c:ext>
            </c:extLst>
          </c:dPt>
          <c:cat>
            <c:strRef>
              <c:f>Sheet1!$B$31:$B$43</c:f>
              <c:strCache>
                <c:ptCount val="13"/>
                <c:pt idx="0">
                  <c:v>UH Manoa</c:v>
                </c:pt>
                <c:pt idx="1">
                  <c:v>Honolulu CC</c:v>
                </c:pt>
                <c:pt idx="2">
                  <c:v>Kapiolani CC</c:v>
                </c:pt>
                <c:pt idx="3">
                  <c:v>Leeward CC</c:v>
                </c:pt>
                <c:pt idx="4">
                  <c:v>Windward CC</c:v>
                </c:pt>
                <c:pt idx="5">
                  <c:v>Hawaii CC (Palamanui)</c:v>
                </c:pt>
                <c:pt idx="6">
                  <c:v>Hawaii CC (Manono)</c:v>
                </c:pt>
                <c:pt idx="7">
                  <c:v>Hawaii CC (NHERC)</c:v>
                </c:pt>
                <c:pt idx="8">
                  <c:v>CC Admin Office</c:v>
                </c:pt>
                <c:pt idx="9">
                  <c:v>Maui CC (Molokai)</c:v>
                </c:pt>
                <c:pt idx="10">
                  <c:v>Kauai CC</c:v>
                </c:pt>
                <c:pt idx="11">
                  <c:v>UH Hilo</c:v>
                </c:pt>
                <c:pt idx="12">
                  <c:v>UH West Oahu</c:v>
                </c:pt>
              </c:strCache>
            </c:strRef>
          </c:cat>
          <c:val>
            <c:numRef>
              <c:f>Sheet1!$I$31:$I$43</c:f>
              <c:numCache>
                <c:formatCode>_(* #,##0_);_(* \(#,##0\);_(* "-"??_);_(@_)</c:formatCode>
                <c:ptCount val="13"/>
                <c:pt idx="0">
                  <c:v>135166308.49700001</c:v>
                </c:pt>
                <c:pt idx="1">
                  <c:v>3790932.32</c:v>
                </c:pt>
                <c:pt idx="2">
                  <c:v>4352956</c:v>
                </c:pt>
                <c:pt idx="3">
                  <c:v>5976682</c:v>
                </c:pt>
                <c:pt idx="4">
                  <c:v>3300660</c:v>
                </c:pt>
                <c:pt idx="5">
                  <c:v>1142397</c:v>
                </c:pt>
                <c:pt idx="6">
                  <c:v>1254915.216</c:v>
                </c:pt>
                <c:pt idx="7">
                  <c:v>15526</c:v>
                </c:pt>
                <c:pt idx="8">
                  <c:v>60849</c:v>
                </c:pt>
                <c:pt idx="9">
                  <c:v>5065821.7230000002</c:v>
                </c:pt>
                <c:pt idx="10">
                  <c:v>1994000</c:v>
                </c:pt>
                <c:pt idx="11">
                  <c:v>10660817.300000001</c:v>
                </c:pt>
                <c:pt idx="12">
                  <c:v>3539388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8EC-42C4-AF82-5F3B8EB36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DE6-4D10-8AE4-8092B688AA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BDE6-4D10-8AE4-8092B688AA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BDE6-4D10-8AE4-8092B688AA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BDE6-4D10-8AE4-8092B688AAA0}"/>
              </c:ext>
            </c:extLst>
          </c:dPt>
          <c:cat>
            <c:strRef>
              <c:f>Sheet1!$R$43:$R$46</c:f>
              <c:strCache>
                <c:ptCount val="4"/>
                <c:pt idx="0">
                  <c:v>UH Manoa</c:v>
                </c:pt>
                <c:pt idx="1">
                  <c:v>CC</c:v>
                </c:pt>
                <c:pt idx="2">
                  <c:v>UH Hilo</c:v>
                </c:pt>
                <c:pt idx="3">
                  <c:v>UH West Oahu</c:v>
                </c:pt>
              </c:strCache>
            </c:strRef>
          </c:cat>
          <c:val>
            <c:numRef>
              <c:f>Sheet1!$S$43:$S$46</c:f>
              <c:numCache>
                <c:formatCode>_(* #,##0_);_(* \(#,##0\);_(* "-"??_);_(@_)</c:formatCode>
                <c:ptCount val="4"/>
                <c:pt idx="0">
                  <c:v>135166308.49700001</c:v>
                </c:pt>
                <c:pt idx="1">
                  <c:v>26954739.259</c:v>
                </c:pt>
                <c:pt idx="2">
                  <c:v>10660817.300000001</c:v>
                </c:pt>
                <c:pt idx="3">
                  <c:v>3539388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E6-4D10-8AE4-8092B688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Sheet1!$W$54:$W$66</c:f>
              <c:strCache>
                <c:ptCount val="13"/>
                <c:pt idx="0">
                  <c:v>UH Manoa</c:v>
                </c:pt>
                <c:pt idx="1">
                  <c:v>UH Hilo</c:v>
                </c:pt>
                <c:pt idx="2">
                  <c:v>Leeward CC</c:v>
                </c:pt>
                <c:pt idx="3">
                  <c:v>Maui CC (Molokai)</c:v>
                </c:pt>
                <c:pt idx="4">
                  <c:v>Kapiolani CC</c:v>
                </c:pt>
                <c:pt idx="5">
                  <c:v>Honolulu CC</c:v>
                </c:pt>
                <c:pt idx="6">
                  <c:v>UH West Oahu</c:v>
                </c:pt>
                <c:pt idx="7">
                  <c:v>Windward CC</c:v>
                </c:pt>
                <c:pt idx="8">
                  <c:v>Kauai CC</c:v>
                </c:pt>
                <c:pt idx="9">
                  <c:v>Hawaii CC (Manono)</c:v>
                </c:pt>
                <c:pt idx="10">
                  <c:v>Hawaii CC (Palamanui)</c:v>
                </c:pt>
                <c:pt idx="11">
                  <c:v>CC Admin Office</c:v>
                </c:pt>
                <c:pt idx="12">
                  <c:v>Hawaii CC (NHERC)</c:v>
                </c:pt>
              </c:strCache>
            </c:strRef>
          </c:cat>
          <c:val>
            <c:numRef>
              <c:f>Sheet1!$X$54:$X$66</c:f>
              <c:numCache>
                <c:formatCode>_(* #,##0_);_(* \(#,##0\);_(* "-"??_);_(@_)</c:formatCode>
                <c:ptCount val="13"/>
                <c:pt idx="0">
                  <c:v>135166308.49700001</c:v>
                </c:pt>
                <c:pt idx="1">
                  <c:v>10660817.300000001</c:v>
                </c:pt>
                <c:pt idx="2">
                  <c:v>5976682</c:v>
                </c:pt>
                <c:pt idx="3">
                  <c:v>5065821.7230000002</c:v>
                </c:pt>
                <c:pt idx="4">
                  <c:v>4352956</c:v>
                </c:pt>
                <c:pt idx="5">
                  <c:v>3790932.32</c:v>
                </c:pt>
                <c:pt idx="6">
                  <c:v>3539388</c:v>
                </c:pt>
                <c:pt idx="7">
                  <c:v>3300660</c:v>
                </c:pt>
                <c:pt idx="8">
                  <c:v>1994000</c:v>
                </c:pt>
                <c:pt idx="9">
                  <c:v>1254915.216</c:v>
                </c:pt>
                <c:pt idx="10">
                  <c:v>1142397</c:v>
                </c:pt>
                <c:pt idx="11">
                  <c:v>60849</c:v>
                </c:pt>
                <c:pt idx="12">
                  <c:v>15526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6C-4F54-95EB-75BB5F666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451851"/>
        <c:axId val="1041942160"/>
      </c:barChart>
      <c:catAx>
        <c:axId val="1249451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1942160"/>
        <c:crosses val="autoZero"/>
        <c:auto val="1"/>
        <c:lblAlgn val="ctr"/>
        <c:lblOffset val="100"/>
        <c:noMultiLvlLbl val="1"/>
      </c:catAx>
      <c:valAx>
        <c:axId val="1041942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kWh/yr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945185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600" b="1" i="0">
                <a:solidFill>
                  <a:schemeClr val="tx1"/>
                </a:solidFill>
                <a:latin typeface="+mn-lt"/>
              </a:rPr>
              <a:t>Net-Zero Status </a:t>
            </a:r>
            <a:r>
              <a:rPr lang="en-US" sz="1400" b="0" i="0">
                <a:solidFill>
                  <a:srgbClr val="757575"/>
                </a:solidFill>
                <a:latin typeface="+mn-lt"/>
              </a:rPr>
              <a:t>
</a:t>
            </a:r>
            <a:r>
              <a:rPr lang="en-US" sz="1200" b="0" i="0">
                <a:solidFill>
                  <a:schemeClr val="tx1"/>
                </a:solidFill>
                <a:latin typeface="+mn-lt"/>
              </a:rPr>
              <a:t>(FY2023-24)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1-687C-4D18-B8AD-6E4E01B5AB6B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3-687C-4D18-B8AD-6E4E01B5AB6B}"/>
              </c:ext>
            </c:extLst>
          </c:dPt>
          <c:cat>
            <c:strRef>
              <c:f>'Net Zero'!$A$2:$A$3</c:f>
              <c:strCache>
                <c:ptCount val="2"/>
                <c:pt idx="0">
                  <c:v>produced</c:v>
                </c:pt>
                <c:pt idx="1">
                  <c:v>remaining</c:v>
                </c:pt>
              </c:strCache>
            </c:strRef>
          </c:cat>
          <c:val>
            <c:numRef>
              <c:f>'Net Zero'!$B$2:$B$3</c:f>
              <c:numCache>
                <c:formatCode>_(* #,##0.00_);_(* \(#,##0.00\);_(* "-"??_);_(@_)</c:formatCode>
                <c:ptCount val="2"/>
                <c:pt idx="0">
                  <c:v>23378122.699885719</c:v>
                </c:pt>
                <c:pt idx="1">
                  <c:v>174621877.30011427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7C-4D18-B8AD-6E4E01B5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85725</xdr:colOff>
      <xdr:row>24</xdr:row>
      <xdr:rowOff>38100</xdr:rowOff>
    </xdr:from>
    <xdr:ext cx="6915150" cy="4791075"/>
    <xdr:graphicFrame macro="">
      <xdr:nvGraphicFramePr>
        <xdr:cNvPr id="1213202908" name="Chart 1">
          <a:extLst>
            <a:ext uri="{FF2B5EF4-FFF2-40B4-BE49-F238E27FC236}">
              <a16:creationId xmlns:a16="http://schemas.microsoft.com/office/drawing/2014/main" id="{00000000-0008-0000-0000-0000DC015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295275</xdr:colOff>
      <xdr:row>23</xdr:row>
      <xdr:rowOff>47625</xdr:rowOff>
    </xdr:from>
    <xdr:ext cx="4352925" cy="2971800"/>
    <xdr:graphicFrame macro="">
      <xdr:nvGraphicFramePr>
        <xdr:cNvPr id="1057452089" name="Chart 2">
          <a:extLst>
            <a:ext uri="{FF2B5EF4-FFF2-40B4-BE49-F238E27FC236}">
              <a16:creationId xmlns:a16="http://schemas.microsoft.com/office/drawing/2014/main" id="{00000000-0008-0000-0000-000039700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1990725</xdr:colOff>
      <xdr:row>39</xdr:row>
      <xdr:rowOff>38100</xdr:rowOff>
    </xdr:from>
    <xdr:ext cx="6848475" cy="4991100"/>
    <xdr:graphicFrame macro="">
      <xdr:nvGraphicFramePr>
        <xdr:cNvPr id="1842518588" name="Chart 3">
          <a:extLst>
            <a:ext uri="{FF2B5EF4-FFF2-40B4-BE49-F238E27FC236}">
              <a16:creationId xmlns:a16="http://schemas.microsoft.com/office/drawing/2014/main" id="{00000000-0008-0000-0000-00003C9AD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2</xdr:row>
      <xdr:rowOff>0</xdr:rowOff>
    </xdr:from>
    <xdr:ext cx="4070350" cy="3079750"/>
    <xdr:graphicFrame macro="">
      <xdr:nvGraphicFramePr>
        <xdr:cNvPr id="1326892907" name="Chart 4">
          <a:extLst>
            <a:ext uri="{FF2B5EF4-FFF2-40B4-BE49-F238E27FC236}">
              <a16:creationId xmlns:a16="http://schemas.microsoft.com/office/drawing/2014/main" id="{00000000-0008-0000-0100-00006BC71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76200</xdr:colOff>
      <xdr:row>4</xdr:row>
      <xdr:rowOff>38100</xdr:rowOff>
    </xdr:from>
    <xdr:ext cx="885825" cy="499263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013200" y="774700"/>
          <a:ext cx="885825" cy="4992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Remaining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88.19%</a:t>
          </a:r>
          <a:endParaRPr sz="1400"/>
        </a:p>
      </xdr:txBody>
    </xdr:sp>
    <xdr:clientData fLocksWithSheet="0"/>
  </xdr:oneCellAnchor>
  <xdr:oneCellAnchor>
    <xdr:from>
      <xdr:col>9</xdr:col>
      <xdr:colOff>260350</xdr:colOff>
      <xdr:row>4</xdr:row>
      <xdr:rowOff>41275</xdr:rowOff>
    </xdr:from>
    <xdr:ext cx="873125" cy="499263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789738" y="765175"/>
          <a:ext cx="873125" cy="4992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Achieved</a:t>
          </a:r>
          <a:endParaRPr sz="1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11.81%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1"/>
  <sheetViews>
    <sheetView tabSelected="1" zoomScale="59" zoomScaleNormal="59" workbookViewId="0">
      <pane xSplit="2" ySplit="1" topLeftCell="C2" activePane="bottomRight" state="frozen"/>
      <selection pane="bottomRight" activeCell="M3" sqref="M3:M6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35.85546875" customWidth="1"/>
    <col min="2" max="2" width="34.85546875" customWidth="1"/>
    <col min="3" max="3" width="12.42578125" bestFit="1" customWidth="1"/>
    <col min="4" max="6" width="12.42578125" customWidth="1"/>
    <col min="7" max="7" width="14.85546875" customWidth="1"/>
    <col min="8" max="12" width="15.42578125" customWidth="1"/>
    <col min="13" max="13" width="10.28515625" bestFit="1" customWidth="1"/>
    <col min="14" max="15" width="15.42578125" customWidth="1"/>
    <col min="16" max="16" width="64.42578125" customWidth="1"/>
    <col min="17" max="17" width="32" customWidth="1"/>
    <col min="18" max="18" width="22.85546875" customWidth="1"/>
    <col min="19" max="19" width="14.42578125" customWidth="1"/>
    <col min="20" max="20" width="13.42578125" customWidth="1"/>
    <col min="21" max="23" width="9" customWidth="1"/>
    <col min="24" max="24" width="12" customWidth="1"/>
    <col min="25" max="28" width="9" customWidth="1"/>
    <col min="29" max="29" width="14.42578125" customWidth="1"/>
    <col min="30" max="32" width="9" customWidth="1"/>
  </cols>
  <sheetData>
    <row r="1" spans="1:3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/>
      <c r="O1" s="8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3" t="s">
        <v>13</v>
      </c>
      <c r="B2" s="3" t="s">
        <v>14</v>
      </c>
      <c r="C2" s="4">
        <v>552558.42299999995</v>
      </c>
      <c r="D2" s="4">
        <v>529890.95699999994</v>
      </c>
      <c r="E2" s="4">
        <v>782150.10600000003</v>
      </c>
      <c r="F2" s="4">
        <v>983499.56600000011</v>
      </c>
      <c r="G2" s="79">
        <v>983418.33799999987</v>
      </c>
      <c r="H2" s="82">
        <v>2828325.0136000002</v>
      </c>
      <c r="I2" s="82">
        <v>2944478.4970000004</v>
      </c>
      <c r="J2" s="82">
        <v>2965925.9110000003</v>
      </c>
      <c r="K2" s="82">
        <v>2921406.56</v>
      </c>
      <c r="L2" s="97">
        <v>2751223.5</v>
      </c>
      <c r="M2" s="97"/>
      <c r="N2" s="96"/>
      <c r="O2" s="92">
        <f t="shared" ref="O2:O9" si="0">(L2-K2)/K2</f>
        <v>-5.8253809082978183E-2</v>
      </c>
      <c r="P2" s="86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>
      <c r="A3" s="3" t="s">
        <v>13</v>
      </c>
      <c r="B3" s="3" t="s">
        <v>15</v>
      </c>
      <c r="C3" s="4">
        <v>369940.12</v>
      </c>
      <c r="D3" s="4">
        <v>372077.2</v>
      </c>
      <c r="E3" s="4">
        <v>375485</v>
      </c>
      <c r="F3" s="4">
        <v>370350</v>
      </c>
      <c r="G3" s="79">
        <f>355947+18355</f>
        <v>374302</v>
      </c>
      <c r="H3" s="82">
        <v>361097</v>
      </c>
      <c r="I3" s="82">
        <v>361672.32</v>
      </c>
      <c r="J3" s="82">
        <v>338192</v>
      </c>
      <c r="K3" s="82">
        <v>2269186.79</v>
      </c>
      <c r="L3" s="97">
        <v>2525477.8887499999</v>
      </c>
      <c r="M3" s="97"/>
      <c r="N3" s="97" t="s">
        <v>16</v>
      </c>
      <c r="O3" s="92">
        <f t="shared" si="0"/>
        <v>0.11294402905897398</v>
      </c>
      <c r="P3" s="87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>
      <c r="A4" s="3" t="s">
        <v>13</v>
      </c>
      <c r="B4" s="3" t="s">
        <v>17</v>
      </c>
      <c r="C4" s="4">
        <v>230396.46</v>
      </c>
      <c r="D4" s="4">
        <v>216755.33</v>
      </c>
      <c r="E4" s="4">
        <v>192170</v>
      </c>
      <c r="F4" s="4">
        <v>175884</v>
      </c>
      <c r="G4" s="79">
        <v>190173</v>
      </c>
      <c r="H4" s="82">
        <v>193017</v>
      </c>
      <c r="I4" s="82">
        <v>190316</v>
      </c>
      <c r="J4" s="82">
        <v>1480469</v>
      </c>
      <c r="K4" s="82">
        <v>3036290.14</v>
      </c>
      <c r="L4" s="97">
        <v>3035142.4480000008</v>
      </c>
      <c r="M4" s="97"/>
      <c r="N4" s="97" t="s">
        <v>16</v>
      </c>
      <c r="O4" s="92">
        <f t="shared" si="0"/>
        <v>-3.779915446418242E-4</v>
      </c>
      <c r="P4" s="88">
        <f>1743.7*4*365</f>
        <v>2545802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>
      <c r="A5" s="3" t="s">
        <v>13</v>
      </c>
      <c r="B5" s="3" t="s">
        <v>18</v>
      </c>
      <c r="C5" s="4">
        <v>897270</v>
      </c>
      <c r="D5" s="4">
        <v>1075170.01</v>
      </c>
      <c r="E5" s="4">
        <v>1075083</v>
      </c>
      <c r="F5" s="4">
        <v>1047315</v>
      </c>
      <c r="G5" s="79">
        <v>1088592</v>
      </c>
      <c r="H5" s="82">
        <v>1074764</v>
      </c>
      <c r="I5" s="83">
        <v>3954562</v>
      </c>
      <c r="J5" s="83">
        <v>3764125</v>
      </c>
      <c r="K5" s="83">
        <v>3059791.5000000005</v>
      </c>
      <c r="L5" s="123">
        <v>3321138.0869999989</v>
      </c>
      <c r="M5" s="123"/>
      <c r="N5" s="97" t="s">
        <v>16</v>
      </c>
      <c r="O5" s="92">
        <f t="shared" si="0"/>
        <v>8.5413201193610219E-2</v>
      </c>
      <c r="P5" s="8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>
      <c r="A6" s="3" t="s">
        <v>13</v>
      </c>
      <c r="B6" s="3" t="s">
        <v>19</v>
      </c>
      <c r="C6" s="4">
        <v>10000</v>
      </c>
      <c r="D6" s="4">
        <v>10000</v>
      </c>
      <c r="E6" s="4">
        <v>11757</v>
      </c>
      <c r="F6" s="4">
        <v>15684</v>
      </c>
      <c r="G6" s="79">
        <v>17892</v>
      </c>
      <c r="H6" s="82">
        <v>18759</v>
      </c>
      <c r="I6" s="82">
        <v>1201260</v>
      </c>
      <c r="J6" s="82">
        <v>1787729</v>
      </c>
      <c r="K6" s="82">
        <v>1652445</v>
      </c>
      <c r="L6" s="97">
        <v>1509138.1743784046</v>
      </c>
      <c r="M6" s="97"/>
      <c r="N6" s="97" t="s">
        <v>16</v>
      </c>
      <c r="O6" s="92">
        <f t="shared" si="0"/>
        <v>-8.672411222255226E-2</v>
      </c>
      <c r="P6" s="87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>
      <c r="A7" s="3" t="s">
        <v>13</v>
      </c>
      <c r="B7" s="3" t="s">
        <v>20</v>
      </c>
      <c r="C7" s="3"/>
      <c r="D7" s="4">
        <f>SUM(D2:D6)</f>
        <v>2203893.497</v>
      </c>
      <c r="E7" s="3"/>
      <c r="F7" s="3"/>
      <c r="G7" s="79">
        <v>0</v>
      </c>
      <c r="H7" s="82">
        <v>1866895</v>
      </c>
      <c r="I7" s="82">
        <v>708971</v>
      </c>
      <c r="J7" s="82">
        <v>624931</v>
      </c>
      <c r="K7" s="84">
        <v>882034</v>
      </c>
      <c r="L7" s="97">
        <v>633336</v>
      </c>
      <c r="M7" s="97"/>
      <c r="N7" s="97"/>
      <c r="O7" s="92">
        <f t="shared" si="0"/>
        <v>-0.28195965234900244</v>
      </c>
      <c r="P7" s="89" t="s">
        <v>21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>
      <c r="A8" s="3" t="s">
        <v>13</v>
      </c>
      <c r="B8" s="3" t="s">
        <v>22</v>
      </c>
      <c r="C8" s="4">
        <v>11815</v>
      </c>
      <c r="D8" s="4">
        <v>12718</v>
      </c>
      <c r="E8" s="4">
        <v>12335</v>
      </c>
      <c r="F8" s="4">
        <v>11190</v>
      </c>
      <c r="G8" s="79">
        <v>11718</v>
      </c>
      <c r="H8" s="82">
        <v>17171.306</v>
      </c>
      <c r="I8" s="82">
        <v>19912.216</v>
      </c>
      <c r="J8" s="82">
        <v>19857.665000000001</v>
      </c>
      <c r="K8" s="82">
        <v>19000</v>
      </c>
      <c r="L8" s="82">
        <v>19000</v>
      </c>
      <c r="M8" s="97"/>
      <c r="N8" s="97"/>
      <c r="O8" s="92">
        <f t="shared" si="0"/>
        <v>0</v>
      </c>
      <c r="P8" s="80" t="s">
        <v>23</v>
      </c>
      <c r="Q8" s="3"/>
      <c r="R8" s="5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>
      <c r="A9" s="3" t="s">
        <v>13</v>
      </c>
      <c r="B9" s="3" t="s">
        <v>24</v>
      </c>
      <c r="C9" s="4"/>
      <c r="D9" s="4"/>
      <c r="E9" s="4"/>
      <c r="F9" s="4"/>
      <c r="G9" s="79"/>
      <c r="H9" s="99">
        <v>0</v>
      </c>
      <c r="I9" s="99"/>
      <c r="J9" s="82">
        <v>27549</v>
      </c>
      <c r="K9" s="82">
        <f>J9</f>
        <v>27549</v>
      </c>
      <c r="L9" s="82">
        <f>K9</f>
        <v>27549</v>
      </c>
      <c r="M9" s="97"/>
      <c r="N9" s="97"/>
      <c r="O9" s="92">
        <f t="shared" si="0"/>
        <v>0</v>
      </c>
      <c r="P9" s="80" t="s">
        <v>25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s="3" t="s">
        <v>13</v>
      </c>
      <c r="B10" s="3" t="s">
        <v>26</v>
      </c>
      <c r="C10" s="4">
        <v>0</v>
      </c>
      <c r="D10" s="4">
        <v>0</v>
      </c>
      <c r="E10" s="4">
        <v>0</v>
      </c>
      <c r="F10" s="4">
        <v>0</v>
      </c>
      <c r="G10" s="79">
        <v>0</v>
      </c>
      <c r="H10" s="82">
        <v>0</v>
      </c>
      <c r="I10" s="82">
        <v>0</v>
      </c>
      <c r="J10" s="82">
        <v>0</v>
      </c>
      <c r="K10" s="82">
        <v>0</v>
      </c>
      <c r="L10" s="97">
        <v>0</v>
      </c>
      <c r="M10" s="97"/>
      <c r="N10" s="97"/>
      <c r="O10" s="92" t="e">
        <f t="shared" ref="O10" si="1">(K10-J10)/J10</f>
        <v>#DIV/0!</v>
      </c>
      <c r="P10" s="87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>
      <c r="A11" s="3" t="s">
        <v>13</v>
      </c>
      <c r="B11" s="3" t="s">
        <v>27</v>
      </c>
      <c r="C11" s="4">
        <v>835295</v>
      </c>
      <c r="D11" s="4">
        <v>1086990</v>
      </c>
      <c r="E11" s="4">
        <v>1379058.34</v>
      </c>
      <c r="F11" s="4">
        <v>1939677.8929999999</v>
      </c>
      <c r="G11" s="79">
        <v>1925587</v>
      </c>
      <c r="H11" s="99">
        <f>1971259+11726</f>
        <v>1982985</v>
      </c>
      <c r="I11" s="82">
        <v>3423003.7230000002</v>
      </c>
      <c r="J11" s="82">
        <v>4646568.2680000002</v>
      </c>
      <c r="K11" s="100">
        <v>3993704.75</v>
      </c>
      <c r="L11" s="124">
        <v>3126239.5597573142</v>
      </c>
      <c r="M11" s="124"/>
      <c r="N11" s="97" t="s">
        <v>16</v>
      </c>
      <c r="O11" s="92">
        <f>(L11-K11)/K11</f>
        <v>-0.21720814245036163</v>
      </c>
      <c r="P11" s="87"/>
      <c r="Q11" s="3" t="s">
        <v>28</v>
      </c>
      <c r="R11" s="3"/>
      <c r="S11" s="3" t="s">
        <v>29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>
      <c r="A12" s="3" t="s">
        <v>13</v>
      </c>
      <c r="B12" s="3" t="s">
        <v>30</v>
      </c>
      <c r="C12" s="4">
        <v>116820.2</v>
      </c>
      <c r="D12" s="4">
        <v>112025.9</v>
      </c>
      <c r="E12" s="4">
        <v>121557.1</v>
      </c>
      <c r="F12" s="4">
        <v>98597.900000000038</v>
      </c>
      <c r="G12" s="79">
        <v>118898.3</v>
      </c>
      <c r="H12" s="82">
        <v>73135</v>
      </c>
      <c r="I12" s="82"/>
      <c r="J12" s="82">
        <v>329106.3</v>
      </c>
      <c r="K12" s="85">
        <v>476478.6</v>
      </c>
      <c r="L12" s="125">
        <v>568949.9</v>
      </c>
      <c r="M12" s="125"/>
      <c r="N12" s="97"/>
      <c r="O12" s="92">
        <f>(L12-K12)/K12</f>
        <v>0.19407230461137195</v>
      </c>
      <c r="P12" s="90" t="s">
        <v>31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s="3" t="s">
        <v>13</v>
      </c>
      <c r="B13" s="3" t="s">
        <v>32</v>
      </c>
      <c r="C13" s="4">
        <v>116902.44814814815</v>
      </c>
      <c r="D13" s="4">
        <v>477838.72222222219</v>
      </c>
      <c r="E13" s="4">
        <v>649237.82999999996</v>
      </c>
      <c r="F13" s="4">
        <v>612381</v>
      </c>
      <c r="G13" s="79">
        <v>629125.80000000005</v>
      </c>
      <c r="H13" s="82">
        <v>620289.1</v>
      </c>
      <c r="I13" s="82">
        <v>537942.30000000005</v>
      </c>
      <c r="J13" s="82">
        <v>315359.40000000002</v>
      </c>
      <c r="K13" s="82">
        <v>386272.9</v>
      </c>
      <c r="L13" s="97">
        <v>596651.19999999995</v>
      </c>
      <c r="M13" s="97"/>
      <c r="N13" s="97"/>
      <c r="O13" s="92">
        <f>(L13-K13)/K13</f>
        <v>0.54463644744428075</v>
      </c>
      <c r="P13" s="87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95" thickBot="1">
      <c r="A14" s="6" t="s">
        <v>13</v>
      </c>
      <c r="B14" s="6" t="s">
        <v>33</v>
      </c>
      <c r="C14" s="7">
        <v>0</v>
      </c>
      <c r="D14" s="7">
        <v>0</v>
      </c>
      <c r="E14" s="7">
        <v>489110</v>
      </c>
      <c r="F14" s="110">
        <v>814784</v>
      </c>
      <c r="G14" s="111">
        <v>774900.60000000009</v>
      </c>
      <c r="H14" s="112">
        <v>782554.2</v>
      </c>
      <c r="I14" s="112">
        <v>700561</v>
      </c>
      <c r="J14" s="112">
        <v>1583212.7109999999</v>
      </c>
      <c r="K14" s="112">
        <v>855487.95</v>
      </c>
      <c r="L14" s="126">
        <v>681739.94200000004</v>
      </c>
      <c r="M14" s="126"/>
      <c r="N14" s="97"/>
      <c r="O14" s="92">
        <f>(L14-K14)/K14</f>
        <v>-0.20309813598192694</v>
      </c>
      <c r="P14" s="80" t="s">
        <v>34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95" thickBot="1">
      <c r="A15" s="6" t="s">
        <v>13</v>
      </c>
      <c r="B15" s="128" t="s">
        <v>35</v>
      </c>
      <c r="C15" s="129"/>
      <c r="D15" s="129"/>
      <c r="E15" s="129"/>
      <c r="F15" s="130"/>
      <c r="G15" s="131"/>
      <c r="H15" s="132"/>
      <c r="I15" s="132"/>
      <c r="J15" s="132"/>
      <c r="K15" s="132"/>
      <c r="L15" s="133">
        <v>4582537</v>
      </c>
      <c r="M15" s="133"/>
      <c r="N15" s="97"/>
      <c r="O15" s="92"/>
      <c r="P15" s="80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95" thickBot="1">
      <c r="A16" s="8" t="s">
        <v>36</v>
      </c>
      <c r="B16" s="9" t="s">
        <v>37</v>
      </c>
      <c r="C16" s="10">
        <f t="shared" ref="C16:K16" si="2">SUM(C2:C14)</f>
        <v>3140997.6511481483</v>
      </c>
      <c r="D16" s="10">
        <f t="shared" si="2"/>
        <v>6097359.6162222223</v>
      </c>
      <c r="E16" s="10">
        <f t="shared" si="2"/>
        <v>5087943.3760000002</v>
      </c>
      <c r="F16" s="107">
        <f t="shared" si="2"/>
        <v>6069363.3590000002</v>
      </c>
      <c r="G16" s="108">
        <f t="shared" si="2"/>
        <v>6114607.0379999988</v>
      </c>
      <c r="H16" s="109">
        <f t="shared" si="2"/>
        <v>9818991.6195999999</v>
      </c>
      <c r="I16" s="109">
        <f t="shared" si="2"/>
        <v>14042679.056000002</v>
      </c>
      <c r="J16" s="109">
        <f t="shared" si="2"/>
        <v>17883025.255000003</v>
      </c>
      <c r="K16" s="109">
        <f t="shared" si="2"/>
        <v>19579647.190000001</v>
      </c>
      <c r="L16" s="109">
        <f>SUM(L2:L15)</f>
        <v>23378122.699885719</v>
      </c>
      <c r="M16" s="138"/>
      <c r="N16" s="98"/>
      <c r="O16" s="92">
        <f>(L16-K16)/K16</f>
        <v>0.19400122346564697</v>
      </c>
      <c r="P16" s="91">
        <f>(L16-C16)/L16</f>
        <v>0.86564371778391336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12" t="s">
        <v>38</v>
      </c>
      <c r="B17" s="12" t="s">
        <v>14</v>
      </c>
      <c r="C17" s="13">
        <v>158335662.36000001</v>
      </c>
      <c r="D17" s="13">
        <v>160478735</v>
      </c>
      <c r="E17" s="13">
        <v>151437713</v>
      </c>
      <c r="F17" s="13">
        <v>148485231</v>
      </c>
      <c r="G17" s="93">
        <v>145598324</v>
      </c>
      <c r="H17" s="105">
        <v>142575155</v>
      </c>
      <c r="I17" s="106">
        <v>132221830</v>
      </c>
      <c r="J17" s="106">
        <v>131942099</v>
      </c>
      <c r="K17" s="106">
        <v>135084400</v>
      </c>
      <c r="L17" s="73">
        <v>130827741</v>
      </c>
      <c r="M17" s="73"/>
      <c r="N17" s="73"/>
      <c r="O17" s="14"/>
      <c r="P17" s="15">
        <f t="shared" ref="P17:P29" si="3">H45/H17</f>
        <v>0.24246907548511029</v>
      </c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>
      <c r="A18" s="16" t="s">
        <v>38</v>
      </c>
      <c r="B18" s="16" t="s">
        <v>15</v>
      </c>
      <c r="C18" s="17">
        <v>4848408</v>
      </c>
      <c r="D18" s="17">
        <v>4896692</v>
      </c>
      <c r="E18" s="17">
        <v>4458082</v>
      </c>
      <c r="F18" s="17">
        <v>4436446</v>
      </c>
      <c r="G18" s="94">
        <v>3937189</v>
      </c>
      <c r="H18" s="101">
        <v>3856447</v>
      </c>
      <c r="I18" s="74">
        <v>3429260</v>
      </c>
      <c r="J18" s="74">
        <v>3155638</v>
      </c>
      <c r="K18" s="74">
        <v>1839334</v>
      </c>
      <c r="L18" s="73">
        <v>1311000</v>
      </c>
      <c r="M18" s="73"/>
      <c r="N18" s="73"/>
      <c r="O18" s="18"/>
      <c r="P18" s="15">
        <f t="shared" si="3"/>
        <v>0.29808058298221135</v>
      </c>
      <c r="Q18" s="19">
        <v>3419327.68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>
      <c r="A19" s="16" t="s">
        <v>38</v>
      </c>
      <c r="B19" s="16" t="s">
        <v>17</v>
      </c>
      <c r="C19" s="17">
        <v>5937480</v>
      </c>
      <c r="D19" s="17">
        <v>6277640</v>
      </c>
      <c r="E19" s="17">
        <v>6042040</v>
      </c>
      <c r="F19" s="17">
        <v>6560000</v>
      </c>
      <c r="G19" s="94">
        <v>5494960</v>
      </c>
      <c r="H19" s="101">
        <v>5336880</v>
      </c>
      <c r="I19" s="74">
        <v>4162640</v>
      </c>
      <c r="J19" s="74">
        <v>1475200</v>
      </c>
      <c r="K19" s="74">
        <v>453710</v>
      </c>
      <c r="L19" s="73">
        <f>32470+441239</f>
        <v>473709</v>
      </c>
      <c r="M19" s="73"/>
      <c r="N19" s="73"/>
      <c r="O19" s="18"/>
      <c r="P19" s="15">
        <f t="shared" si="3"/>
        <v>0.2729921826985055</v>
      </c>
      <c r="Q19" s="19">
        <v>4161684</v>
      </c>
      <c r="R19" s="1"/>
      <c r="S19" s="1"/>
      <c r="T19" s="1">
        <v>116820.2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>
      <c r="A20" s="16" t="s">
        <v>38</v>
      </c>
      <c r="B20" s="16" t="s">
        <v>18</v>
      </c>
      <c r="C20" s="17">
        <v>3620855</v>
      </c>
      <c r="D20" s="17">
        <v>3257126</v>
      </c>
      <c r="E20" s="17">
        <v>4334284</v>
      </c>
      <c r="F20" s="17">
        <v>3154310</v>
      </c>
      <c r="G20" s="94">
        <v>3998493</v>
      </c>
      <c r="H20" s="101">
        <v>3856597</v>
      </c>
      <c r="I20" s="74">
        <v>2022120</v>
      </c>
      <c r="J20" s="74">
        <v>1372062</v>
      </c>
      <c r="K20" s="74">
        <v>987601</v>
      </c>
      <c r="L20" s="73">
        <f>1424399+223052</f>
        <v>1647451</v>
      </c>
      <c r="M20" s="73"/>
      <c r="N20" s="73"/>
      <c r="O20" s="18"/>
      <c r="P20" s="15">
        <f t="shared" si="3"/>
        <v>0.28768838693801813</v>
      </c>
      <c r="Q20" s="19">
        <v>1942438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>
      <c r="A21" s="16" t="s">
        <v>38</v>
      </c>
      <c r="B21" s="16" t="s">
        <v>19</v>
      </c>
      <c r="C21" s="17">
        <v>4429600</v>
      </c>
      <c r="D21" s="17">
        <v>4915150</v>
      </c>
      <c r="E21" s="17">
        <v>4798650</v>
      </c>
      <c r="F21" s="17">
        <v>4408200</v>
      </c>
      <c r="G21" s="94">
        <v>3762600</v>
      </c>
      <c r="H21" s="101">
        <v>3778800</v>
      </c>
      <c r="I21" s="74">
        <v>2099400</v>
      </c>
      <c r="J21" s="74">
        <v>1687200</v>
      </c>
      <c r="K21" s="74">
        <v>2175600</v>
      </c>
      <c r="L21" s="73">
        <v>2352600</v>
      </c>
      <c r="M21" s="73"/>
      <c r="N21" s="73"/>
      <c r="O21" s="18"/>
      <c r="P21" s="15">
        <f t="shared" si="3"/>
        <v>0.27468275907695566</v>
      </c>
      <c r="Q21" s="19">
        <v>2098762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5.75" customHeight="1">
      <c r="A22" s="16" t="s">
        <v>38</v>
      </c>
      <c r="B22" s="16" t="s">
        <v>20</v>
      </c>
      <c r="C22" s="17"/>
      <c r="D22" s="17"/>
      <c r="E22" s="17"/>
      <c r="F22" s="17"/>
      <c r="G22" s="94">
        <v>600071</v>
      </c>
      <c r="H22" s="101">
        <v>466089</v>
      </c>
      <c r="I22" s="74">
        <v>433426</v>
      </c>
      <c r="J22" s="74">
        <v>414989</v>
      </c>
      <c r="K22" s="74">
        <v>395266</v>
      </c>
      <c r="L22" s="73">
        <v>339083</v>
      </c>
      <c r="M22" s="73"/>
      <c r="N22" s="73"/>
      <c r="O22" s="18"/>
      <c r="P22" s="15">
        <f t="shared" si="3"/>
        <v>0.35844802172975548</v>
      </c>
      <c r="Q22" s="1">
        <v>1909000</v>
      </c>
      <c r="R22" s="19">
        <f>I22+I23+I24</f>
        <v>1683955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5.75" customHeight="1">
      <c r="A23" s="16" t="s">
        <v>38</v>
      </c>
      <c r="B23" s="16" t="s">
        <v>22</v>
      </c>
      <c r="C23" s="17"/>
      <c r="D23" s="17"/>
      <c r="E23" s="17"/>
      <c r="F23" s="17"/>
      <c r="G23" s="94">
        <v>1360800</v>
      </c>
      <c r="H23" s="101">
        <v>1391040</v>
      </c>
      <c r="I23" s="74">
        <v>1235003</v>
      </c>
      <c r="J23" s="74">
        <v>1254240</v>
      </c>
      <c r="K23" s="74">
        <v>1219225</v>
      </c>
      <c r="L23" s="73">
        <v>1363688</v>
      </c>
      <c r="M23" s="73"/>
      <c r="N23" s="73"/>
      <c r="O23" s="18"/>
      <c r="P23" s="15">
        <f t="shared" si="3"/>
        <v>0.31717820479641134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5.75" customHeight="1">
      <c r="A24" s="16" t="s">
        <v>38</v>
      </c>
      <c r="B24" s="16" t="s">
        <v>24</v>
      </c>
      <c r="C24" s="17"/>
      <c r="D24" s="17"/>
      <c r="E24" s="17"/>
      <c r="F24" s="17"/>
      <c r="G24" s="94"/>
      <c r="H24" s="101">
        <v>35886</v>
      </c>
      <c r="I24" s="74">
        <v>15526</v>
      </c>
      <c r="J24" s="74">
        <v>23316</v>
      </c>
      <c r="K24" s="74"/>
      <c r="L24" s="73">
        <v>22703</v>
      </c>
      <c r="M24" s="73"/>
      <c r="N24" s="73"/>
      <c r="O24" s="14"/>
      <c r="P24" s="15">
        <f t="shared" si="3"/>
        <v>0</v>
      </c>
      <c r="Q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customHeight="1">
      <c r="A25" s="16" t="s">
        <v>38</v>
      </c>
      <c r="B25" s="16" t="s">
        <v>26</v>
      </c>
      <c r="C25" s="17"/>
      <c r="D25" s="17"/>
      <c r="E25" s="17"/>
      <c r="F25" s="17"/>
      <c r="G25" s="94">
        <v>88764</v>
      </c>
      <c r="H25" s="101">
        <v>90819</v>
      </c>
      <c r="I25" s="74">
        <v>60849</v>
      </c>
      <c r="J25" s="74">
        <v>69905</v>
      </c>
      <c r="K25" s="74">
        <v>73247</v>
      </c>
      <c r="L25" s="73">
        <v>72128</v>
      </c>
      <c r="M25" s="73"/>
      <c r="N25" s="73"/>
      <c r="O25" s="18"/>
      <c r="P25" s="15">
        <f t="shared" si="3"/>
        <v>0.3214385756284478</v>
      </c>
      <c r="Q25" s="20" t="s">
        <v>39</v>
      </c>
      <c r="R25" s="18">
        <v>1235003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customHeight="1">
      <c r="A26" s="16" t="s">
        <v>38</v>
      </c>
      <c r="B26" s="16" t="s">
        <v>27</v>
      </c>
      <c r="C26" s="17">
        <v>4164215</v>
      </c>
      <c r="D26" s="17">
        <v>4017190</v>
      </c>
      <c r="E26" s="17">
        <v>3658999</v>
      </c>
      <c r="F26" s="17">
        <v>3274023</v>
      </c>
      <c r="G26" s="94">
        <v>3480486</v>
      </c>
      <c r="H26" s="102">
        <v>3116564</v>
      </c>
      <c r="I26" s="74">
        <v>1642818</v>
      </c>
      <c r="J26" s="74">
        <v>636643</v>
      </c>
      <c r="K26" s="74">
        <v>1712721</v>
      </c>
      <c r="L26" s="73">
        <f>1681676.88+111154</f>
        <v>1792830.88</v>
      </c>
      <c r="M26" s="73"/>
      <c r="N26" s="73"/>
      <c r="O26" s="18"/>
      <c r="P26" s="15">
        <f t="shared" si="3"/>
        <v>0.35415161376438919</v>
      </c>
      <c r="Q26" s="20" t="s">
        <v>32</v>
      </c>
      <c r="R26" s="18">
        <v>10125439</v>
      </c>
      <c r="S26" s="19">
        <f>R26-2564</f>
        <v>10122875</v>
      </c>
      <c r="T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customHeight="1">
      <c r="A27" s="16" t="s">
        <v>38</v>
      </c>
      <c r="B27" s="16" t="s">
        <v>30</v>
      </c>
      <c r="C27" s="17">
        <v>2109480</v>
      </c>
      <c r="D27" s="17">
        <v>2272141</v>
      </c>
      <c r="E27" s="17">
        <v>2315224</v>
      </c>
      <c r="F27" s="17">
        <v>2113030</v>
      </c>
      <c r="G27" s="94">
        <v>2278000</v>
      </c>
      <c r="H27" s="101">
        <v>2200334</v>
      </c>
      <c r="I27" s="74">
        <v>1994000</v>
      </c>
      <c r="J27" s="74">
        <v>1415884</v>
      </c>
      <c r="K27" s="74"/>
      <c r="L27" s="73">
        <v>1359549</v>
      </c>
      <c r="M27" s="73"/>
      <c r="N27" s="73"/>
      <c r="O27" s="14"/>
      <c r="P27" s="15">
        <f t="shared" si="3"/>
        <v>0.30807418782784796</v>
      </c>
      <c r="Q27" s="20" t="s">
        <v>40</v>
      </c>
      <c r="R27" s="18">
        <v>3429260</v>
      </c>
      <c r="S27" s="19"/>
      <c r="T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5.75" customHeight="1">
      <c r="A28" s="16" t="s">
        <v>38</v>
      </c>
      <c r="B28" s="16" t="s">
        <v>32</v>
      </c>
      <c r="C28" s="17">
        <v>14276015.640000001</v>
      </c>
      <c r="D28" s="17">
        <v>14249970</v>
      </c>
      <c r="E28" s="17">
        <v>13156401</v>
      </c>
      <c r="F28" s="17">
        <v>11979077</v>
      </c>
      <c r="G28" s="94">
        <v>12711618</v>
      </c>
      <c r="H28" s="102">
        <v>12455215</v>
      </c>
      <c r="I28" s="74">
        <v>10122875</v>
      </c>
      <c r="J28" s="74">
        <v>10562886</v>
      </c>
      <c r="K28" s="74">
        <v>11196649</v>
      </c>
      <c r="L28" s="73">
        <v>11429740</v>
      </c>
      <c r="M28" s="73"/>
      <c r="N28" s="73"/>
      <c r="O28" s="18"/>
      <c r="P28" s="15">
        <f t="shared" si="3"/>
        <v>0.31137695334845683</v>
      </c>
      <c r="Q28" s="20" t="s">
        <v>41</v>
      </c>
      <c r="R28" s="18">
        <v>4162640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5.75" customHeight="1" thickBot="1">
      <c r="A29" s="21" t="s">
        <v>38</v>
      </c>
      <c r="B29" s="21" t="s">
        <v>33</v>
      </c>
      <c r="C29" s="22">
        <v>3163280</v>
      </c>
      <c r="D29" s="22">
        <v>3179509</v>
      </c>
      <c r="E29" s="22">
        <v>2724327</v>
      </c>
      <c r="F29" s="22">
        <v>2379616</v>
      </c>
      <c r="G29" s="95">
        <v>2659139</v>
      </c>
      <c r="H29" s="103">
        <v>3044579</v>
      </c>
      <c r="I29" s="104">
        <v>2838827</v>
      </c>
      <c r="J29" s="104">
        <v>2972789</v>
      </c>
      <c r="K29" s="104">
        <v>3146600</v>
      </c>
      <c r="L29" s="73">
        <v>3141761</v>
      </c>
      <c r="M29" s="73"/>
      <c r="N29" s="73"/>
      <c r="O29" s="18"/>
      <c r="P29" s="15">
        <f t="shared" si="3"/>
        <v>0.28228583984846511</v>
      </c>
      <c r="Q29" s="20" t="s">
        <v>42</v>
      </c>
      <c r="R29" s="18">
        <v>2022120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5.75" customHeight="1" thickBot="1">
      <c r="A30" s="23" t="s">
        <v>36</v>
      </c>
      <c r="B30" s="24" t="s">
        <v>37</v>
      </c>
      <c r="C30" s="25">
        <f t="shared" ref="C30:I30" si="4">SUM(C17:C29)</f>
        <v>200884996</v>
      </c>
      <c r="D30" s="25">
        <f t="shared" si="4"/>
        <v>203544153</v>
      </c>
      <c r="E30" s="25">
        <f t="shared" si="4"/>
        <v>192925720</v>
      </c>
      <c r="F30" s="25">
        <f t="shared" si="4"/>
        <v>186789933</v>
      </c>
      <c r="G30" s="113">
        <f t="shared" si="4"/>
        <v>185970444</v>
      </c>
      <c r="H30" s="114">
        <f t="shared" si="4"/>
        <v>182204405</v>
      </c>
      <c r="I30" s="114">
        <f t="shared" si="4"/>
        <v>162278574</v>
      </c>
      <c r="J30" s="114">
        <f>SUM(J17:J29)</f>
        <v>156982851</v>
      </c>
      <c r="K30" s="114">
        <f>SUM(K17:K29)</f>
        <v>158284353</v>
      </c>
      <c r="L30" s="114">
        <f>SUM(L17:L29)</f>
        <v>156133983.88</v>
      </c>
      <c r="M30" s="139"/>
      <c r="N30" s="78"/>
      <c r="O30" s="11">
        <f>(J30-I30)/I30</f>
        <v>-3.2633531768648645E-2</v>
      </c>
      <c r="P30" s="91">
        <f>(H30-G30)/G30</f>
        <v>-2.0250739413194066E-2</v>
      </c>
      <c r="Q30" s="20" t="s">
        <v>14</v>
      </c>
      <c r="R30" s="26">
        <v>132221830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5.75" customHeight="1">
      <c r="A31" s="27" t="s">
        <v>43</v>
      </c>
      <c r="B31" s="27" t="s">
        <v>14</v>
      </c>
      <c r="C31" s="28">
        <f t="shared" ref="C31:K31" si="5">C2+C17</f>
        <v>158888220.78300002</v>
      </c>
      <c r="D31" s="28">
        <f t="shared" si="5"/>
        <v>161008625.95699999</v>
      </c>
      <c r="E31" s="28">
        <f t="shared" si="5"/>
        <v>152219863.10600001</v>
      </c>
      <c r="F31" s="28">
        <f t="shared" si="5"/>
        <v>149468730.56600001</v>
      </c>
      <c r="G31" s="28">
        <f t="shared" si="5"/>
        <v>146581742.338</v>
      </c>
      <c r="H31" s="28">
        <f t="shared" si="5"/>
        <v>145403480.01359999</v>
      </c>
      <c r="I31" s="28">
        <f t="shared" si="5"/>
        <v>135166308.49700001</v>
      </c>
      <c r="J31" s="28">
        <f t="shared" si="5"/>
        <v>134908024.91100001</v>
      </c>
      <c r="K31" s="28">
        <f t="shared" si="5"/>
        <v>138005806.56</v>
      </c>
      <c r="L31" s="28">
        <f t="shared" ref="L31" si="6">L2+L17</f>
        <v>133578964.5</v>
      </c>
      <c r="M31" s="28"/>
      <c r="N31" s="134">
        <f>L2/K31</f>
        <v>1.9935563354748165E-2</v>
      </c>
      <c r="O31" s="28"/>
      <c r="P31" s="29">
        <f t="shared" ref="P31:P44" si="7">(I31-H31)/I31</f>
        <v>-7.573759785580883E-2</v>
      </c>
      <c r="Q31" s="20" t="s">
        <v>44</v>
      </c>
      <c r="R31" s="18">
        <v>23815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.75" customHeight="1">
      <c r="A32" s="30" t="s">
        <v>43</v>
      </c>
      <c r="B32" s="30" t="s">
        <v>15</v>
      </c>
      <c r="C32" s="31">
        <f t="shared" ref="C32:K32" si="8">C3+C18</f>
        <v>5218348.12</v>
      </c>
      <c r="D32" s="31">
        <f t="shared" si="8"/>
        <v>5268769.2</v>
      </c>
      <c r="E32" s="31">
        <f t="shared" si="8"/>
        <v>4833567</v>
      </c>
      <c r="F32" s="31">
        <f t="shared" si="8"/>
        <v>4806796</v>
      </c>
      <c r="G32" s="31">
        <f t="shared" si="8"/>
        <v>4311491</v>
      </c>
      <c r="H32" s="31">
        <f t="shared" si="8"/>
        <v>4217544</v>
      </c>
      <c r="I32" s="28">
        <f t="shared" si="8"/>
        <v>3790932.32</v>
      </c>
      <c r="J32" s="28">
        <f t="shared" si="8"/>
        <v>3493830</v>
      </c>
      <c r="K32" s="28">
        <f t="shared" si="8"/>
        <v>4108520.79</v>
      </c>
      <c r="L32" s="28">
        <f t="shared" ref="L32" si="9">L3+L18</f>
        <v>3836477.8887499999</v>
      </c>
      <c r="M32" s="28"/>
      <c r="N32" s="134">
        <f t="shared" ref="N32:N41" si="10">L3/K32</f>
        <v>0.61469273683534165</v>
      </c>
      <c r="O32" s="28"/>
      <c r="P32" s="29">
        <f t="shared" si="7"/>
        <v>-0.1125347655903285</v>
      </c>
      <c r="Q32" s="20" t="s">
        <v>45</v>
      </c>
      <c r="R32" s="18">
        <v>1642818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.75" customHeight="1">
      <c r="A33" s="30" t="s">
        <v>43</v>
      </c>
      <c r="B33" s="30" t="s">
        <v>17</v>
      </c>
      <c r="C33" s="31">
        <f t="shared" ref="C33:K33" si="11">C4+C19</f>
        <v>6167876.46</v>
      </c>
      <c r="D33" s="31">
        <f t="shared" si="11"/>
        <v>6494395.3300000001</v>
      </c>
      <c r="E33" s="31">
        <f t="shared" si="11"/>
        <v>6234210</v>
      </c>
      <c r="F33" s="31">
        <f t="shared" si="11"/>
        <v>6735884</v>
      </c>
      <c r="G33" s="31">
        <f t="shared" si="11"/>
        <v>5685133</v>
      </c>
      <c r="H33" s="31">
        <f t="shared" si="11"/>
        <v>5529897</v>
      </c>
      <c r="I33" s="28">
        <f t="shared" si="11"/>
        <v>4352956</v>
      </c>
      <c r="J33" s="28">
        <f t="shared" si="11"/>
        <v>2955669</v>
      </c>
      <c r="K33" s="28">
        <f t="shared" si="11"/>
        <v>3490000.14</v>
      </c>
      <c r="L33" s="28">
        <f t="shared" ref="L33" si="12">L4+L19</f>
        <v>3508851.4480000008</v>
      </c>
      <c r="M33" s="28"/>
      <c r="N33" s="134">
        <f t="shared" si="10"/>
        <v>0.86966828832276222</v>
      </c>
      <c r="O33" s="28"/>
      <c r="P33" s="29">
        <f t="shared" si="7"/>
        <v>-0.27037741709312019</v>
      </c>
      <c r="Q33" s="20" t="s">
        <v>46</v>
      </c>
      <c r="R33" s="18">
        <v>446388</v>
      </c>
      <c r="S33" s="32">
        <f>R33-12962</f>
        <v>433426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.75" customHeight="1">
      <c r="A34" s="30" t="s">
        <v>43</v>
      </c>
      <c r="B34" s="30" t="s">
        <v>18</v>
      </c>
      <c r="C34" s="31">
        <f t="shared" ref="C34:K34" si="13">C5+C20</f>
        <v>4518125</v>
      </c>
      <c r="D34" s="31">
        <f t="shared" si="13"/>
        <v>4332296.01</v>
      </c>
      <c r="E34" s="31">
        <f t="shared" si="13"/>
        <v>5409367</v>
      </c>
      <c r="F34" s="31">
        <f t="shared" si="13"/>
        <v>4201625</v>
      </c>
      <c r="G34" s="31">
        <f t="shared" si="13"/>
        <v>5087085</v>
      </c>
      <c r="H34" s="31">
        <f t="shared" si="13"/>
        <v>4931361</v>
      </c>
      <c r="I34" s="28">
        <f t="shared" si="13"/>
        <v>5976682</v>
      </c>
      <c r="J34" s="28">
        <f t="shared" si="13"/>
        <v>5136187</v>
      </c>
      <c r="K34" s="28">
        <f t="shared" si="13"/>
        <v>4047392.5000000005</v>
      </c>
      <c r="L34" s="28">
        <f t="shared" ref="L34" si="14">L5+L20</f>
        <v>4968589.0869999994</v>
      </c>
      <c r="M34" s="28"/>
      <c r="N34" s="134">
        <f t="shared" si="10"/>
        <v>0.82056239591292379</v>
      </c>
      <c r="O34" s="28"/>
      <c r="P34" s="29">
        <f t="shared" si="7"/>
        <v>0.1748998859233267</v>
      </c>
      <c r="Q34" s="20" t="s">
        <v>33</v>
      </c>
      <c r="R34" s="18">
        <v>2838827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.75" customHeight="1">
      <c r="A35" s="30" t="s">
        <v>43</v>
      </c>
      <c r="B35" s="30" t="s">
        <v>19</v>
      </c>
      <c r="C35" s="31">
        <f t="shared" ref="C35:K35" si="15">C6+C21</f>
        <v>4439600</v>
      </c>
      <c r="D35" s="31">
        <f t="shared" si="15"/>
        <v>4925150</v>
      </c>
      <c r="E35" s="31">
        <f t="shared" si="15"/>
        <v>4810407</v>
      </c>
      <c r="F35" s="31">
        <f t="shared" si="15"/>
        <v>4423884</v>
      </c>
      <c r="G35" s="31">
        <f t="shared" si="15"/>
        <v>3780492</v>
      </c>
      <c r="H35" s="31">
        <f t="shared" si="15"/>
        <v>3797559</v>
      </c>
      <c r="I35" s="28">
        <f t="shared" si="15"/>
        <v>3300660</v>
      </c>
      <c r="J35" s="28">
        <f t="shared" si="15"/>
        <v>3474929</v>
      </c>
      <c r="K35" s="28">
        <f t="shared" si="15"/>
        <v>3828045</v>
      </c>
      <c r="L35" s="28">
        <f t="shared" ref="L35" si="16">L6+L21</f>
        <v>3861738.1743784044</v>
      </c>
      <c r="M35" s="28"/>
      <c r="N35" s="134">
        <f t="shared" si="10"/>
        <v>0.39423208827963219</v>
      </c>
      <c r="O35" s="28"/>
      <c r="P35" s="29">
        <f t="shared" si="7"/>
        <v>-0.15054534547635928</v>
      </c>
      <c r="Q35" s="20" t="s">
        <v>47</v>
      </c>
      <c r="R35" s="18">
        <v>2099400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.75" customHeight="1">
      <c r="A36" s="30" t="s">
        <v>43</v>
      </c>
      <c r="B36" s="30" t="s">
        <v>20</v>
      </c>
      <c r="C36" s="31">
        <f t="shared" ref="C36:K36" si="17">C7+C22</f>
        <v>0</v>
      </c>
      <c r="D36" s="31">
        <f t="shared" si="17"/>
        <v>2203893.497</v>
      </c>
      <c r="E36" s="31">
        <f t="shared" si="17"/>
        <v>0</v>
      </c>
      <c r="F36" s="31">
        <f t="shared" si="17"/>
        <v>0</v>
      </c>
      <c r="G36" s="31">
        <f t="shared" si="17"/>
        <v>600071</v>
      </c>
      <c r="H36" s="31">
        <f t="shared" si="17"/>
        <v>2332984</v>
      </c>
      <c r="I36" s="28">
        <f t="shared" si="17"/>
        <v>1142397</v>
      </c>
      <c r="J36" s="28">
        <f t="shared" si="17"/>
        <v>1039920</v>
      </c>
      <c r="K36" s="28">
        <f t="shared" si="17"/>
        <v>1277300</v>
      </c>
      <c r="L36" s="28">
        <f t="shared" ref="L36" si="18">L7+L22</f>
        <v>972419</v>
      </c>
      <c r="M36" s="28"/>
      <c r="N36" s="134">
        <f t="shared" si="10"/>
        <v>0.49583966178658107</v>
      </c>
      <c r="O36" s="28"/>
      <c r="P36" s="29">
        <f t="shared" si="7"/>
        <v>-1.0421832340245991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.75" customHeight="1">
      <c r="A37" s="30" t="s">
        <v>43</v>
      </c>
      <c r="B37" s="30" t="s">
        <v>22</v>
      </c>
      <c r="C37" s="31">
        <f t="shared" ref="C37:K37" si="19">C8+C23</f>
        <v>11815</v>
      </c>
      <c r="D37" s="31">
        <f t="shared" si="19"/>
        <v>12718</v>
      </c>
      <c r="E37" s="31">
        <f t="shared" si="19"/>
        <v>12335</v>
      </c>
      <c r="F37" s="31">
        <f t="shared" si="19"/>
        <v>11190</v>
      </c>
      <c r="G37" s="31">
        <f t="shared" si="19"/>
        <v>1372518</v>
      </c>
      <c r="H37" s="31">
        <f t="shared" si="19"/>
        <v>1408211.3060000001</v>
      </c>
      <c r="I37" s="28">
        <f t="shared" si="19"/>
        <v>1254915.216</v>
      </c>
      <c r="J37" s="28">
        <f t="shared" si="19"/>
        <v>1274097.665</v>
      </c>
      <c r="K37" s="28">
        <f t="shared" si="19"/>
        <v>1238225</v>
      </c>
      <c r="L37" s="28">
        <f t="shared" ref="L37:L38" si="20">L8+L23</f>
        <v>1382688</v>
      </c>
      <c r="M37" s="28"/>
      <c r="N37" s="134">
        <f t="shared" si="10"/>
        <v>1.534454561973793E-2</v>
      </c>
      <c r="O37" s="28"/>
      <c r="P37" s="29">
        <f t="shared" si="7"/>
        <v>-0.12215653140984792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.75" customHeight="1">
      <c r="A38" s="30" t="s">
        <v>43</v>
      </c>
      <c r="B38" s="30" t="s">
        <v>24</v>
      </c>
      <c r="C38" s="31">
        <f t="shared" ref="C38:J38" si="21">C9+C24</f>
        <v>0</v>
      </c>
      <c r="D38" s="31">
        <f t="shared" si="21"/>
        <v>0</v>
      </c>
      <c r="E38" s="31">
        <f t="shared" si="21"/>
        <v>0</v>
      </c>
      <c r="F38" s="31">
        <f t="shared" si="21"/>
        <v>0</v>
      </c>
      <c r="G38" s="31">
        <f t="shared" si="21"/>
        <v>0</v>
      </c>
      <c r="H38" s="31">
        <f t="shared" si="21"/>
        <v>35886</v>
      </c>
      <c r="I38" s="28">
        <f t="shared" si="21"/>
        <v>15526</v>
      </c>
      <c r="J38" s="28">
        <f t="shared" si="21"/>
        <v>50865</v>
      </c>
      <c r="K38" s="28"/>
      <c r="L38" s="28">
        <f t="shared" si="20"/>
        <v>50252</v>
      </c>
      <c r="M38" s="28"/>
      <c r="N38" s="134" t="e">
        <f t="shared" si="10"/>
        <v>#DIV/0!</v>
      </c>
      <c r="O38" s="28"/>
      <c r="P38" s="29">
        <f t="shared" si="7"/>
        <v>-1.311348705397398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.75" customHeight="1">
      <c r="A39" s="30" t="s">
        <v>43</v>
      </c>
      <c r="B39" s="30" t="s">
        <v>26</v>
      </c>
      <c r="C39" s="31">
        <f t="shared" ref="C39:D42" si="22">C10+C25</f>
        <v>0</v>
      </c>
      <c r="D39" s="31">
        <f t="shared" si="22"/>
        <v>0</v>
      </c>
      <c r="E39" s="31"/>
      <c r="F39" s="31"/>
      <c r="G39" s="31">
        <f>G25</f>
        <v>88764</v>
      </c>
      <c r="H39" s="31">
        <f t="shared" ref="H39:L40" si="23">H10+H25</f>
        <v>90819</v>
      </c>
      <c r="I39" s="28">
        <f t="shared" si="23"/>
        <v>60849</v>
      </c>
      <c r="J39" s="28">
        <f t="shared" si="23"/>
        <v>69905</v>
      </c>
      <c r="K39" s="28">
        <f t="shared" si="23"/>
        <v>73247</v>
      </c>
      <c r="L39" s="28">
        <f t="shared" si="23"/>
        <v>72128</v>
      </c>
      <c r="M39" s="28"/>
      <c r="N39" s="134">
        <f t="shared" si="10"/>
        <v>0</v>
      </c>
      <c r="O39" s="28"/>
      <c r="P39" s="29">
        <f t="shared" si="7"/>
        <v>-0.49253069072622391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.75" customHeight="1">
      <c r="A40" s="30" t="s">
        <v>43</v>
      </c>
      <c r="B40" s="30" t="s">
        <v>27</v>
      </c>
      <c r="C40" s="31">
        <f t="shared" si="22"/>
        <v>4999510</v>
      </c>
      <c r="D40" s="31">
        <f t="shared" si="22"/>
        <v>5104180</v>
      </c>
      <c r="E40" s="31">
        <f t="shared" ref="E40:G42" si="24">E11+E26</f>
        <v>5038057.34</v>
      </c>
      <c r="F40" s="31">
        <f t="shared" si="24"/>
        <v>5213700.8930000002</v>
      </c>
      <c r="G40" s="31">
        <f t="shared" si="24"/>
        <v>5406073</v>
      </c>
      <c r="H40" s="31">
        <f t="shared" si="23"/>
        <v>5099549</v>
      </c>
      <c r="I40" s="28">
        <f t="shared" si="23"/>
        <v>5065821.7230000002</v>
      </c>
      <c r="J40" s="28">
        <f t="shared" si="23"/>
        <v>5283211.2680000002</v>
      </c>
      <c r="K40" s="28">
        <f t="shared" si="23"/>
        <v>5706425.75</v>
      </c>
      <c r="L40" s="28">
        <f t="shared" ref="L40:L41" si="25">L11+L26</f>
        <v>4919070.4397573136</v>
      </c>
      <c r="M40" s="28"/>
      <c r="N40" s="134">
        <f t="shared" si="10"/>
        <v>0.547845480992601</v>
      </c>
      <c r="O40" s="28"/>
      <c r="P40" s="29">
        <f t="shared" si="7"/>
        <v>-6.6578096988431602E-3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30" t="s">
        <v>43</v>
      </c>
      <c r="B41" s="30" t="s">
        <v>30</v>
      </c>
      <c r="C41" s="31">
        <f t="shared" si="22"/>
        <v>2226300.2000000002</v>
      </c>
      <c r="D41" s="31">
        <f t="shared" si="22"/>
        <v>2384166.9</v>
      </c>
      <c r="E41" s="31">
        <f t="shared" si="24"/>
        <v>2436781.1</v>
      </c>
      <c r="F41" s="31">
        <f t="shared" si="24"/>
        <v>2211627.9</v>
      </c>
      <c r="G41" s="31">
        <f t="shared" si="24"/>
        <v>2396898.2999999998</v>
      </c>
      <c r="H41" s="31">
        <f t="shared" ref="H41:J42" si="26">H12+H27</f>
        <v>2273469</v>
      </c>
      <c r="I41" s="28">
        <f t="shared" si="26"/>
        <v>1994000</v>
      </c>
      <c r="J41" s="28">
        <f t="shared" si="26"/>
        <v>1744990.3</v>
      </c>
      <c r="K41" s="28"/>
      <c r="L41" s="28">
        <f t="shared" si="25"/>
        <v>1928498.9</v>
      </c>
      <c r="M41" s="28"/>
      <c r="N41" s="134" t="e">
        <f t="shared" si="10"/>
        <v>#DIV/0!</v>
      </c>
      <c r="O41" s="28"/>
      <c r="P41" s="29">
        <f t="shared" si="7"/>
        <v>-0.14015496489468404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30" t="s">
        <v>43</v>
      </c>
      <c r="B42" s="30" t="s">
        <v>32</v>
      </c>
      <c r="C42" s="31">
        <f t="shared" si="22"/>
        <v>14392918.088148149</v>
      </c>
      <c r="D42" s="31">
        <f t="shared" si="22"/>
        <v>14727808.722222222</v>
      </c>
      <c r="E42" s="31">
        <f t="shared" si="24"/>
        <v>13805638.83</v>
      </c>
      <c r="F42" s="31">
        <f t="shared" si="24"/>
        <v>12591458</v>
      </c>
      <c r="G42" s="31">
        <f t="shared" si="24"/>
        <v>13340743.800000001</v>
      </c>
      <c r="H42" s="31">
        <f t="shared" si="26"/>
        <v>13075504.1</v>
      </c>
      <c r="I42" s="28">
        <f t="shared" si="26"/>
        <v>10660817.300000001</v>
      </c>
      <c r="J42" s="28">
        <f t="shared" si="26"/>
        <v>10878245.4</v>
      </c>
      <c r="K42" s="28">
        <f>K13+K28</f>
        <v>11582921.9</v>
      </c>
      <c r="L42" s="28">
        <f>L13+L28</f>
        <v>12026391.199999999</v>
      </c>
      <c r="M42" s="28"/>
      <c r="N42" s="134">
        <f>L13/K42</f>
        <v>5.1511285766331544E-2</v>
      </c>
      <c r="O42" s="28"/>
      <c r="P42" s="29">
        <f t="shared" si="7"/>
        <v>-0.22650109574619562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 thickBot="1">
      <c r="A43" s="33" t="s">
        <v>43</v>
      </c>
      <c r="B43" s="33" t="s">
        <v>33</v>
      </c>
      <c r="C43" s="34">
        <f t="shared" ref="C43:I43" si="27">C14+C29</f>
        <v>3163280</v>
      </c>
      <c r="D43" s="34">
        <f t="shared" si="27"/>
        <v>3179509</v>
      </c>
      <c r="E43" s="34">
        <f t="shared" si="27"/>
        <v>3213437</v>
      </c>
      <c r="F43" s="34">
        <f t="shared" si="27"/>
        <v>3194400</v>
      </c>
      <c r="G43" s="34">
        <f t="shared" si="27"/>
        <v>3434039.6</v>
      </c>
      <c r="H43" s="34">
        <f t="shared" si="27"/>
        <v>3827133.2</v>
      </c>
      <c r="I43" s="34">
        <f t="shared" si="27"/>
        <v>3539388</v>
      </c>
      <c r="J43" s="34">
        <f t="shared" ref="J43" si="28">J14+J29</f>
        <v>4556001.7110000001</v>
      </c>
      <c r="K43" s="34">
        <f>K14+K29</f>
        <v>4002087.95</v>
      </c>
      <c r="L43" s="34">
        <f>L14+L29</f>
        <v>3823500.9419999998</v>
      </c>
      <c r="M43" s="140"/>
      <c r="N43" s="134">
        <f>(L14+L15)/K43</f>
        <v>1.3153826222134872</v>
      </c>
      <c r="O43" s="34"/>
      <c r="P43" s="29">
        <f t="shared" si="7"/>
        <v>-8.1298009712413605E-2</v>
      </c>
      <c r="Q43" s="1"/>
      <c r="R43" s="1" t="str">
        <f>B31</f>
        <v>UH Manoa</v>
      </c>
      <c r="S43" s="2">
        <f>I31</f>
        <v>135166308.49700001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 thickBot="1">
      <c r="A44" s="35" t="s">
        <v>36</v>
      </c>
      <c r="B44" s="36" t="s">
        <v>37</v>
      </c>
      <c r="C44" s="37">
        <f t="shared" ref="C44:F44" si="29">SUM(C31:C43)-C37</f>
        <v>204014178.65114817</v>
      </c>
      <c r="D44" s="37">
        <f t="shared" si="29"/>
        <v>209628794.6162222</v>
      </c>
      <c r="E44" s="37">
        <f t="shared" si="29"/>
        <v>198001328.37600002</v>
      </c>
      <c r="F44" s="37">
        <f t="shared" si="29"/>
        <v>192848106.35900003</v>
      </c>
      <c r="G44" s="37">
        <f>SUM(G31:G43)-G36-G37</f>
        <v>190112462.03800002</v>
      </c>
      <c r="H44" s="38">
        <f t="shared" ref="H44:K44" si="30">SUM(H31:H43)</f>
        <v>192023396.61959997</v>
      </c>
      <c r="I44" s="38">
        <f t="shared" si="30"/>
        <v>176321253.05599999</v>
      </c>
      <c r="J44" s="38">
        <f t="shared" si="30"/>
        <v>174865876.25500003</v>
      </c>
      <c r="K44" s="38">
        <f t="shared" si="30"/>
        <v>177359972.58999997</v>
      </c>
      <c r="L44" s="38">
        <f t="shared" ref="L44" si="31">SUM(L31:L43)</f>
        <v>174929569.57988572</v>
      </c>
      <c r="M44" s="141"/>
      <c r="N44" s="134">
        <f>L16/K44</f>
        <v>0.13181171804716346</v>
      </c>
      <c r="O44" s="11">
        <f>(J44-I44)/I44</f>
        <v>-8.2541201118718141E-3</v>
      </c>
      <c r="P44" s="29">
        <f t="shared" si="7"/>
        <v>-8.9054174079700649E-2</v>
      </c>
      <c r="Q44" s="1"/>
      <c r="R44" s="1" t="s">
        <v>48</v>
      </c>
      <c r="S44" s="2">
        <f>I32+I33+I34+I35+I36+I37+I38+I39+I40+I41</f>
        <v>26954739.259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39" t="s">
        <v>49</v>
      </c>
      <c r="B45" s="39" t="s">
        <v>14</v>
      </c>
      <c r="C45" s="40"/>
      <c r="D45" s="40"/>
      <c r="E45" s="40"/>
      <c r="F45" s="41"/>
      <c r="G45" s="41">
        <v>36758288</v>
      </c>
      <c r="H45" s="41">
        <v>34570066.0199963</v>
      </c>
      <c r="I45" s="41"/>
      <c r="J45" s="41"/>
      <c r="K45" s="41">
        <v>49917862.200000003</v>
      </c>
      <c r="L45" s="41">
        <v>43154739</v>
      </c>
      <c r="M45" s="41"/>
      <c r="N45" s="41"/>
      <c r="O45" s="41"/>
      <c r="P45" s="1"/>
      <c r="Q45" s="1"/>
      <c r="R45" s="1" t="str">
        <f t="shared" ref="R45:R46" si="32">B42</f>
        <v>UH Hilo</v>
      </c>
      <c r="S45" s="2">
        <f t="shared" ref="S45:S46" si="33">I42</f>
        <v>10660817.300000001</v>
      </c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42" t="s">
        <v>49</v>
      </c>
      <c r="B46" s="42" t="s">
        <v>15</v>
      </c>
      <c r="C46" s="43"/>
      <c r="D46" s="43"/>
      <c r="E46" s="43"/>
      <c r="F46" s="44"/>
      <c r="G46" s="44">
        <v>1237873</v>
      </c>
      <c r="H46" s="44">
        <v>1149531.97</v>
      </c>
      <c r="I46" s="44"/>
      <c r="J46" s="44"/>
      <c r="K46" s="44">
        <v>901081</v>
      </c>
      <c r="L46" s="44">
        <v>847764</v>
      </c>
      <c r="M46" s="44"/>
      <c r="N46" s="44"/>
      <c r="O46" s="44"/>
      <c r="P46" s="1"/>
      <c r="Q46" s="1"/>
      <c r="R46" s="1" t="str">
        <f t="shared" si="32"/>
        <v>UH West Oahu</v>
      </c>
      <c r="S46" s="2">
        <f t="shared" si="33"/>
        <v>3539388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42" t="s">
        <v>49</v>
      </c>
      <c r="B47" s="42" t="s">
        <v>17</v>
      </c>
      <c r="C47" s="43"/>
      <c r="D47" s="43"/>
      <c r="E47" s="43"/>
      <c r="F47" s="44"/>
      <c r="G47" s="44">
        <v>1530396</v>
      </c>
      <c r="H47" s="44">
        <v>1456926.52</v>
      </c>
      <c r="I47" s="44"/>
      <c r="J47" s="44"/>
      <c r="K47" s="44">
        <v>233157.6</v>
      </c>
      <c r="L47" s="44">
        <v>205095</v>
      </c>
      <c r="M47" s="44"/>
      <c r="N47" s="44"/>
      <c r="O47" s="4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42" t="s">
        <v>49</v>
      </c>
      <c r="B48" s="42" t="s">
        <v>18</v>
      </c>
      <c r="C48" s="43"/>
      <c r="D48" s="43"/>
      <c r="E48" s="43"/>
      <c r="F48" s="44"/>
      <c r="G48" s="44">
        <v>1164246</v>
      </c>
      <c r="H48" s="44">
        <v>1109498.17</v>
      </c>
      <c r="I48" s="44"/>
      <c r="J48" s="44"/>
      <c r="K48" s="44">
        <v>483745.31</v>
      </c>
      <c r="L48" s="44">
        <f>709400+85510</f>
        <v>794910</v>
      </c>
      <c r="M48" s="44"/>
      <c r="N48" s="44"/>
      <c r="O48" s="4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42" t="s">
        <v>49</v>
      </c>
      <c r="B49" s="42" t="s">
        <v>19</v>
      </c>
      <c r="C49" s="43"/>
      <c r="D49" s="43"/>
      <c r="E49" s="43"/>
      <c r="F49" s="44"/>
      <c r="G49" s="44">
        <v>1076507.3899999999</v>
      </c>
      <c r="H49" s="44">
        <v>1037971.21</v>
      </c>
      <c r="I49" s="44"/>
      <c r="J49" s="44"/>
      <c r="K49" s="44">
        <v>916211</v>
      </c>
      <c r="L49" s="44">
        <v>882242</v>
      </c>
      <c r="M49" s="44"/>
      <c r="N49" s="44"/>
      <c r="O49" s="44"/>
      <c r="P49" s="1"/>
      <c r="Q49" s="1"/>
      <c r="R49" s="1"/>
      <c r="S49" s="4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42" t="s">
        <v>49</v>
      </c>
      <c r="B50" s="42" t="s">
        <v>20</v>
      </c>
      <c r="C50" s="43"/>
      <c r="D50" s="43"/>
      <c r="E50" s="43"/>
      <c r="F50" s="44"/>
      <c r="G50" s="44">
        <v>223675.29</v>
      </c>
      <c r="H50" s="44">
        <v>167068.68</v>
      </c>
      <c r="I50" s="44"/>
      <c r="J50" s="44"/>
      <c r="K50" s="44">
        <v>179709.73</v>
      </c>
      <c r="L50" s="44">
        <v>604179</v>
      </c>
      <c r="M50" s="44"/>
      <c r="N50" s="44"/>
      <c r="O50" s="44"/>
      <c r="P50" s="1"/>
      <c r="Q50" s="1"/>
      <c r="R50" s="1"/>
      <c r="S50" s="4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42" t="s">
        <v>49</v>
      </c>
      <c r="B51" s="42" t="s">
        <v>22</v>
      </c>
      <c r="C51" s="43"/>
      <c r="D51" s="43"/>
      <c r="E51" s="43"/>
      <c r="F51" s="44"/>
      <c r="G51" s="44">
        <v>458463.04</v>
      </c>
      <c r="H51" s="44">
        <v>441207.57</v>
      </c>
      <c r="I51" s="44"/>
      <c r="J51" s="44"/>
      <c r="K51" s="44">
        <v>530459.89</v>
      </c>
      <c r="L51" s="135">
        <v>548571</v>
      </c>
      <c r="M51" s="135"/>
      <c r="N51" s="44"/>
      <c r="O51" s="44"/>
      <c r="P51" s="1"/>
      <c r="Q51" s="1"/>
      <c r="R51" s="1"/>
      <c r="S51" s="4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42" t="s">
        <v>49</v>
      </c>
      <c r="B52" s="42" t="s">
        <v>24</v>
      </c>
      <c r="C52" s="43"/>
      <c r="D52" s="43"/>
      <c r="E52" s="43"/>
      <c r="F52" s="44"/>
      <c r="G52" s="44"/>
      <c r="H52" s="44"/>
      <c r="I52" s="44"/>
      <c r="J52" s="44"/>
      <c r="K52" s="44"/>
      <c r="L52" s="135">
        <v>146116</v>
      </c>
      <c r="M52" s="135"/>
      <c r="N52" s="44"/>
      <c r="O52" s="44"/>
      <c r="P52" s="1"/>
      <c r="Q52" s="1"/>
      <c r="R52" s="1"/>
      <c r="S52" s="4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42" t="s">
        <v>49</v>
      </c>
      <c r="B53" s="42" t="s">
        <v>26</v>
      </c>
      <c r="C53" s="43"/>
      <c r="D53" s="43"/>
      <c r="E53" s="43"/>
      <c r="F53" s="44"/>
      <c r="G53" s="44">
        <v>28667.3</v>
      </c>
      <c r="H53" s="44">
        <v>29192.73</v>
      </c>
      <c r="I53" s="44"/>
      <c r="J53" s="44"/>
      <c r="K53" s="44">
        <v>32458.98</v>
      </c>
      <c r="L53" s="44">
        <v>36894</v>
      </c>
      <c r="M53" s="44"/>
      <c r="N53" s="44"/>
      <c r="O53" s="44"/>
      <c r="P53" s="1"/>
      <c r="Q53" s="1"/>
      <c r="R53" s="1"/>
      <c r="S53" s="45"/>
      <c r="T53" s="45"/>
      <c r="U53" s="1"/>
      <c r="V53" s="1"/>
      <c r="W53" s="1"/>
      <c r="X53" s="1"/>
      <c r="Y53" s="1"/>
      <c r="Z53" s="1"/>
      <c r="AA53" s="1"/>
      <c r="AB53" s="1"/>
      <c r="AC53" s="32"/>
      <c r="AD53" s="1"/>
      <c r="AE53" s="1"/>
      <c r="AF53" s="1"/>
    </row>
    <row r="54" spans="1:32" ht="15.75" customHeight="1">
      <c r="A54" s="42" t="s">
        <v>49</v>
      </c>
      <c r="B54" s="42" t="s">
        <v>27</v>
      </c>
      <c r="C54" s="43"/>
      <c r="D54" s="43"/>
      <c r="E54" s="43"/>
      <c r="F54" s="44"/>
      <c r="G54" s="44">
        <v>1224333.01</v>
      </c>
      <c r="H54" s="44">
        <v>1103736.17</v>
      </c>
      <c r="I54" s="44"/>
      <c r="J54" s="44"/>
      <c r="K54" s="44">
        <v>867829.94</v>
      </c>
      <c r="L54" s="44">
        <v>854232</v>
      </c>
      <c r="M54" s="44"/>
      <c r="N54" s="44"/>
      <c r="O54" s="44"/>
      <c r="P54" s="1"/>
      <c r="Q54" s="1"/>
      <c r="R54" s="1"/>
      <c r="S54" s="45"/>
      <c r="T54" s="1"/>
      <c r="U54" s="1"/>
      <c r="V54" s="1"/>
      <c r="W54" s="27" t="s">
        <v>14</v>
      </c>
      <c r="X54" s="28">
        <v>135166308.49700001</v>
      </c>
      <c r="Y54" s="1"/>
      <c r="Z54" s="1"/>
      <c r="AA54" s="1"/>
      <c r="AB54" s="1"/>
      <c r="AC54" s="32"/>
      <c r="AD54" s="1"/>
      <c r="AE54" s="1"/>
      <c r="AF54" s="1"/>
    </row>
    <row r="55" spans="1:32" ht="15.75" customHeight="1">
      <c r="A55" s="42" t="s">
        <v>49</v>
      </c>
      <c r="B55" s="42" t="s">
        <v>30</v>
      </c>
      <c r="C55" s="43"/>
      <c r="D55" s="43"/>
      <c r="E55" s="43"/>
      <c r="F55" s="44"/>
      <c r="G55" s="44">
        <v>762413.77</v>
      </c>
      <c r="H55" s="44">
        <v>677866.11</v>
      </c>
      <c r="I55" s="44"/>
      <c r="J55" s="44"/>
      <c r="K55" s="44"/>
      <c r="L55" s="135">
        <v>2996</v>
      </c>
      <c r="M55" s="135"/>
      <c r="N55" s="44"/>
      <c r="O55" s="44"/>
      <c r="P55" s="1"/>
      <c r="Q55" s="1"/>
      <c r="R55" s="1"/>
      <c r="S55" s="45"/>
      <c r="T55" s="1"/>
      <c r="U55" s="1"/>
      <c r="V55" s="1"/>
      <c r="W55" s="30" t="s">
        <v>32</v>
      </c>
      <c r="X55" s="28">
        <v>10660817.300000001</v>
      </c>
      <c r="Y55" s="1"/>
      <c r="Z55" s="1"/>
      <c r="AA55" s="1"/>
      <c r="AB55" s="1"/>
      <c r="AC55" s="32"/>
      <c r="AD55" s="1"/>
      <c r="AE55" s="1"/>
      <c r="AF55" s="1"/>
    </row>
    <row r="56" spans="1:32" ht="15.75" customHeight="1">
      <c r="A56" s="42" t="s">
        <v>49</v>
      </c>
      <c r="B56" s="42" t="s">
        <v>32</v>
      </c>
      <c r="C56" s="43"/>
      <c r="D56" s="43"/>
      <c r="E56" s="43"/>
      <c r="F56" s="44"/>
      <c r="G56" s="44">
        <v>4126608.52</v>
      </c>
      <c r="H56" s="44">
        <v>3878266.9</v>
      </c>
      <c r="I56" s="44"/>
      <c r="J56" s="44"/>
      <c r="K56" s="44">
        <v>4771257</v>
      </c>
      <c r="L56" s="44">
        <v>4516505</v>
      </c>
      <c r="M56" s="44"/>
      <c r="N56" s="44"/>
      <c r="O56" s="44"/>
      <c r="P56" s="1"/>
      <c r="Q56" s="1"/>
      <c r="R56" s="1"/>
      <c r="S56" s="45"/>
      <c r="T56" s="1"/>
      <c r="U56" s="1"/>
      <c r="V56" s="1"/>
      <c r="W56" s="30" t="s">
        <v>18</v>
      </c>
      <c r="X56" s="28">
        <v>5976682</v>
      </c>
      <c r="Y56" s="1"/>
      <c r="Z56" s="1"/>
      <c r="AA56" s="1"/>
      <c r="AB56" s="1"/>
      <c r="AC56" s="32"/>
      <c r="AD56" s="1"/>
      <c r="AE56" s="1"/>
      <c r="AF56" s="1"/>
    </row>
    <row r="57" spans="1:32" ht="15.75" customHeight="1" thickBot="1">
      <c r="A57" s="116" t="s">
        <v>49</v>
      </c>
      <c r="B57" s="116" t="s">
        <v>33</v>
      </c>
      <c r="C57" s="117"/>
      <c r="D57" s="117"/>
      <c r="E57" s="117"/>
      <c r="F57" s="118"/>
      <c r="G57" s="118">
        <v>758203.86</v>
      </c>
      <c r="H57" s="118">
        <v>859441.54</v>
      </c>
      <c r="I57" s="118"/>
      <c r="J57" s="118"/>
      <c r="K57" s="122">
        <v>1312291.8600000001</v>
      </c>
      <c r="L57" s="127">
        <v>1195459</v>
      </c>
      <c r="M57" s="127"/>
      <c r="N57" s="44"/>
      <c r="O57" s="44"/>
      <c r="P57" s="1"/>
      <c r="Q57" s="1"/>
      <c r="R57" s="1"/>
      <c r="S57" s="1"/>
      <c r="T57" s="1"/>
      <c r="U57" s="1"/>
      <c r="V57" s="1"/>
      <c r="W57" s="30" t="s">
        <v>27</v>
      </c>
      <c r="X57" s="28">
        <v>5065821.7230000002</v>
      </c>
      <c r="Y57" s="1"/>
      <c r="Z57" s="1"/>
      <c r="AA57" s="1"/>
      <c r="AB57" s="1"/>
      <c r="AC57" s="1"/>
      <c r="AD57" s="1"/>
      <c r="AE57" s="1"/>
      <c r="AF57" s="1"/>
    </row>
    <row r="58" spans="1:32" ht="15.75" customHeight="1" thickBot="1">
      <c r="A58" s="119" t="s">
        <v>36</v>
      </c>
      <c r="B58" s="119" t="s">
        <v>37</v>
      </c>
      <c r="C58" s="120">
        <f t="shared" ref="C58:L58" si="34">SUM(C45:C57)</f>
        <v>0</v>
      </c>
      <c r="D58" s="120">
        <f t="shared" si="34"/>
        <v>0</v>
      </c>
      <c r="E58" s="120">
        <f t="shared" si="34"/>
        <v>0</v>
      </c>
      <c r="F58" s="120">
        <f t="shared" si="34"/>
        <v>0</v>
      </c>
      <c r="G58" s="121">
        <f t="shared" si="34"/>
        <v>49349675.18</v>
      </c>
      <c r="H58" s="121">
        <f t="shared" si="34"/>
        <v>46480773.589996301</v>
      </c>
      <c r="I58" s="121"/>
      <c r="J58" s="121"/>
      <c r="K58" s="121">
        <f t="shared" si="34"/>
        <v>60146064.509999998</v>
      </c>
      <c r="L58" s="121">
        <f t="shared" si="34"/>
        <v>53789702</v>
      </c>
      <c r="M58" s="142"/>
      <c r="N58" s="44"/>
      <c r="O58" s="44"/>
      <c r="P58" s="1"/>
      <c r="Q58" s="1"/>
      <c r="R58" s="1"/>
      <c r="S58" s="1"/>
      <c r="T58" s="1"/>
      <c r="U58" s="1"/>
      <c r="V58" s="1"/>
      <c r="W58" s="30" t="s">
        <v>17</v>
      </c>
      <c r="X58" s="28">
        <v>4352956</v>
      </c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2" t="s">
        <v>50</v>
      </c>
      <c r="B59" s="12" t="s">
        <v>14</v>
      </c>
      <c r="C59" s="13"/>
      <c r="D59" s="13"/>
      <c r="E59" s="13"/>
      <c r="F59" s="13"/>
      <c r="G59" s="115">
        <f t="shared" ref="G59:H59" si="35">G45/G17</f>
        <v>0.25246367533736169</v>
      </c>
      <c r="H59" s="115">
        <f t="shared" si="35"/>
        <v>0.24246907548511029</v>
      </c>
      <c r="I59" s="115"/>
      <c r="J59" s="115"/>
      <c r="K59" s="115">
        <f t="shared" ref="K59:L60" si="36">K45/K17</f>
        <v>0.36953091696746626</v>
      </c>
      <c r="L59" s="115">
        <f t="shared" si="36"/>
        <v>0.32985923833997866</v>
      </c>
      <c r="M59" s="115"/>
      <c r="N59" s="46"/>
      <c r="O59" s="46"/>
      <c r="P59" s="1"/>
      <c r="Q59" s="1"/>
      <c r="R59" s="1"/>
      <c r="S59" s="1"/>
      <c r="T59" s="1"/>
      <c r="U59" s="1"/>
      <c r="V59" s="1"/>
      <c r="W59" s="30" t="s">
        <v>15</v>
      </c>
      <c r="X59" s="28">
        <v>3790932.32</v>
      </c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6" t="s">
        <v>50</v>
      </c>
      <c r="B60" s="16" t="s">
        <v>15</v>
      </c>
      <c r="C60" s="17"/>
      <c r="D60" s="17"/>
      <c r="E60" s="17"/>
      <c r="F60" s="17"/>
      <c r="G60" s="46">
        <f t="shared" ref="G60:H60" si="37">G46/G18</f>
        <v>0.31440527747080466</v>
      </c>
      <c r="H60" s="46">
        <f t="shared" si="37"/>
        <v>0.29808058298221135</v>
      </c>
      <c r="I60" s="46"/>
      <c r="J60" s="46"/>
      <c r="K60" s="46">
        <f t="shared" si="36"/>
        <v>0.48989525556532965</v>
      </c>
      <c r="L60" s="46">
        <f t="shared" si="36"/>
        <v>0.64665446224256296</v>
      </c>
      <c r="M60" s="46"/>
      <c r="N60" s="46"/>
      <c r="O60" s="46"/>
      <c r="P60" s="1"/>
      <c r="Q60" s="1"/>
      <c r="R60" s="1"/>
      <c r="S60" s="32">
        <v>7232365</v>
      </c>
      <c r="T60" s="32">
        <f>S60+1968114.06</f>
        <v>9200479.0600000005</v>
      </c>
      <c r="U60" s="1"/>
      <c r="V60" s="1"/>
      <c r="W60" s="30" t="s">
        <v>33</v>
      </c>
      <c r="X60" s="28">
        <v>3539388</v>
      </c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6" t="s">
        <v>50</v>
      </c>
      <c r="B61" s="16" t="s">
        <v>17</v>
      </c>
      <c r="C61" s="17"/>
      <c r="D61" s="17"/>
      <c r="E61" s="17"/>
      <c r="F61" s="17"/>
      <c r="G61" s="46">
        <f t="shared" ref="G61:H61" si="38">G47/G19</f>
        <v>0.27850903373272962</v>
      </c>
      <c r="H61" s="46">
        <f t="shared" si="38"/>
        <v>0.2729921826985055</v>
      </c>
      <c r="I61" s="46"/>
      <c r="J61" s="46"/>
      <c r="K61" s="46">
        <f t="shared" ref="K61:L61" si="39">K47/K19</f>
        <v>0.51389125212139919</v>
      </c>
      <c r="L61" s="46">
        <f t="shared" si="39"/>
        <v>0.43295567531965828</v>
      </c>
      <c r="M61" s="46"/>
      <c r="N61" s="46"/>
      <c r="O61" s="46"/>
      <c r="P61" s="1"/>
      <c r="Q61" s="1"/>
      <c r="R61" s="1"/>
      <c r="S61" s="1"/>
      <c r="T61" s="1">
        <v>9200479.0600000005</v>
      </c>
      <c r="U61" s="1"/>
      <c r="V61" s="1"/>
      <c r="W61" s="30" t="s">
        <v>19</v>
      </c>
      <c r="X61" s="28">
        <v>3300660</v>
      </c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6" t="s">
        <v>50</v>
      </c>
      <c r="B62" s="16" t="s">
        <v>18</v>
      </c>
      <c r="C62" s="17"/>
      <c r="D62" s="17"/>
      <c r="E62" s="17"/>
      <c r="F62" s="17"/>
      <c r="G62" s="46">
        <f t="shared" ref="G62:H62" si="40">G48/G20</f>
        <v>0.29117119874912872</v>
      </c>
      <c r="H62" s="46">
        <f t="shared" si="40"/>
        <v>0.28768838693801813</v>
      </c>
      <c r="I62" s="46"/>
      <c r="J62" s="46"/>
      <c r="K62" s="46">
        <f t="shared" ref="G62:K64" si="41">K48/K20</f>
        <v>0.48981857045507243</v>
      </c>
      <c r="L62" s="46">
        <f t="shared" ref="L62" si="42">L48/L20</f>
        <v>0.48250903972257747</v>
      </c>
      <c r="M62" s="46"/>
      <c r="N62" s="46"/>
      <c r="O62" s="46"/>
      <c r="P62" s="1"/>
      <c r="Q62" s="1"/>
      <c r="R62" s="1"/>
      <c r="S62" s="1"/>
      <c r="T62" s="1"/>
      <c r="U62" s="1"/>
      <c r="V62" s="1"/>
      <c r="W62" s="30" t="s">
        <v>30</v>
      </c>
      <c r="X62" s="28">
        <v>1994000</v>
      </c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6" t="s">
        <v>50</v>
      </c>
      <c r="B63" s="16" t="s">
        <v>19</v>
      </c>
      <c r="C63" s="17"/>
      <c r="D63" s="17"/>
      <c r="E63" s="17"/>
      <c r="F63" s="17"/>
      <c r="G63" s="46">
        <f t="shared" ref="G63:H63" si="43">G49/G21</f>
        <v>0.28610731674905648</v>
      </c>
      <c r="H63" s="46">
        <f t="shared" si="43"/>
        <v>0.27468275907695566</v>
      </c>
      <c r="I63" s="46"/>
      <c r="J63" s="46"/>
      <c r="K63" s="46">
        <f t="shared" si="41"/>
        <v>0.42113026291597722</v>
      </c>
      <c r="L63" s="46">
        <f t="shared" ref="L63" si="44">L49/L21</f>
        <v>0.37500722604777692</v>
      </c>
      <c r="M63" s="46"/>
      <c r="N63" s="46"/>
      <c r="O63" s="46"/>
      <c r="P63" s="1"/>
      <c r="Q63" s="1"/>
      <c r="R63" s="1"/>
      <c r="S63" s="1"/>
      <c r="T63" s="1"/>
      <c r="U63" s="1"/>
      <c r="V63" s="1"/>
      <c r="W63" s="30" t="s">
        <v>22</v>
      </c>
      <c r="X63" s="28">
        <v>1254915.216</v>
      </c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6" t="s">
        <v>50</v>
      </c>
      <c r="B64" s="16" t="s">
        <v>20</v>
      </c>
      <c r="C64" s="17"/>
      <c r="D64" s="17"/>
      <c r="E64" s="17"/>
      <c r="F64" s="17"/>
      <c r="G64" s="46">
        <f t="shared" si="41"/>
        <v>0.372748041481758</v>
      </c>
      <c r="H64" s="46">
        <f t="shared" si="41"/>
        <v>0.35844802172975548</v>
      </c>
      <c r="I64" s="46"/>
      <c r="J64" s="46"/>
      <c r="K64" s="46">
        <f t="shared" si="41"/>
        <v>0.45465516892421814</v>
      </c>
      <c r="L64" s="46">
        <f t="shared" ref="L64" si="45">L50/L22</f>
        <v>1.7818026854781868</v>
      </c>
      <c r="M64" s="46"/>
      <c r="N64" s="46"/>
      <c r="O64" s="46"/>
      <c r="P64" s="1"/>
      <c r="Q64" s="1"/>
      <c r="R64" s="1"/>
      <c r="S64" s="1"/>
      <c r="T64" s="1"/>
      <c r="U64" s="1"/>
      <c r="V64" s="1"/>
      <c r="W64" s="30" t="s">
        <v>20</v>
      </c>
      <c r="X64" s="28">
        <v>1142397</v>
      </c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6" t="s">
        <v>50</v>
      </c>
      <c r="B65" s="16" t="s">
        <v>22</v>
      </c>
      <c r="C65" s="17"/>
      <c r="D65" s="17"/>
      <c r="E65" s="17"/>
      <c r="F65" s="17"/>
      <c r="G65" s="46">
        <f t="shared" ref="G65:H65" si="46">G51/G23</f>
        <v>0.33690699588477363</v>
      </c>
      <c r="H65" s="46">
        <f t="shared" si="46"/>
        <v>0.31717820479641134</v>
      </c>
      <c r="I65" s="46"/>
      <c r="J65" s="46"/>
      <c r="K65" s="46">
        <f>K51/K23</f>
        <v>0.43507957103897971</v>
      </c>
      <c r="L65" s="46">
        <f>L51/L23</f>
        <v>0.40227016736966226</v>
      </c>
      <c r="M65" s="46"/>
      <c r="N65" s="46"/>
      <c r="O65" s="46"/>
      <c r="P65" s="1"/>
      <c r="Q65" s="1"/>
      <c r="R65" s="1"/>
      <c r="S65" s="1"/>
      <c r="T65" s="1"/>
      <c r="U65" s="1"/>
      <c r="V65" s="1"/>
      <c r="W65" s="30" t="s">
        <v>26</v>
      </c>
      <c r="X65" s="28">
        <v>60849</v>
      </c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6" t="s">
        <v>50</v>
      </c>
      <c r="B66" s="16" t="s">
        <v>24</v>
      </c>
      <c r="C66" s="17"/>
      <c r="D66" s="17"/>
      <c r="E66" s="17"/>
      <c r="F66" s="17"/>
      <c r="G66" s="46"/>
      <c r="H66" s="46"/>
      <c r="I66" s="46"/>
      <c r="J66" s="46"/>
      <c r="K66" s="46"/>
      <c r="L66" s="46">
        <f>L52/L24</f>
        <v>6.4359776241025415</v>
      </c>
      <c r="M66" s="46"/>
      <c r="N66" s="46"/>
      <c r="O66" s="46"/>
      <c r="P66" s="1"/>
      <c r="Q66" s="1"/>
      <c r="R66" s="1"/>
      <c r="S66" s="1"/>
      <c r="T66" s="1"/>
      <c r="U66" s="1"/>
      <c r="V66" s="1"/>
      <c r="W66" s="33" t="s">
        <v>24</v>
      </c>
      <c r="X66" s="34">
        <v>15526</v>
      </c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6" t="s">
        <v>50</v>
      </c>
      <c r="B67" s="16" t="s">
        <v>26</v>
      </c>
      <c r="C67" s="17"/>
      <c r="D67" s="17"/>
      <c r="E67" s="17"/>
      <c r="F67" s="17"/>
      <c r="G67" s="46">
        <f t="shared" ref="G67:K67" si="47">G53/G25</f>
        <v>0.32296088504348608</v>
      </c>
      <c r="H67" s="46">
        <f t="shared" si="47"/>
        <v>0.3214385756284478</v>
      </c>
      <c r="I67" s="46"/>
      <c r="J67" s="46"/>
      <c r="K67" s="46">
        <f t="shared" si="47"/>
        <v>0.44314415607465152</v>
      </c>
      <c r="L67" s="46">
        <f t="shared" ref="L67" si="48">L53/L25</f>
        <v>0.51150732031943213</v>
      </c>
      <c r="M67" s="46"/>
      <c r="N67" s="46"/>
      <c r="O67" s="4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6" t="s">
        <v>50</v>
      </c>
      <c r="B68" s="16" t="s">
        <v>27</v>
      </c>
      <c r="C68" s="17"/>
      <c r="D68" s="17"/>
      <c r="E68" s="17"/>
      <c r="F68" s="17"/>
      <c r="G68" s="46">
        <f t="shared" ref="G68" si="49">G54/G26</f>
        <v>0.35177070386147224</v>
      </c>
      <c r="H68" s="46">
        <f>H54/H26</f>
        <v>0.35415161376438919</v>
      </c>
      <c r="I68" s="46"/>
      <c r="J68" s="46"/>
      <c r="K68" s="46">
        <f t="shared" ref="K68:L69" si="50">K54/K26</f>
        <v>0.5066966190056641</v>
      </c>
      <c r="L68" s="46">
        <f t="shared" si="50"/>
        <v>0.47647104338140361</v>
      </c>
      <c r="M68" s="46"/>
      <c r="N68" s="46"/>
      <c r="O68" s="4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6" t="s">
        <v>50</v>
      </c>
      <c r="B69" s="16" t="s">
        <v>30</v>
      </c>
      <c r="C69" s="17"/>
      <c r="D69" s="17"/>
      <c r="E69" s="17"/>
      <c r="F69" s="17"/>
      <c r="G69" s="46">
        <f t="shared" ref="G69:H69" si="51">G55/G27</f>
        <v>0.33468558823529415</v>
      </c>
      <c r="H69" s="46">
        <f t="shared" si="51"/>
        <v>0.30807418782784796</v>
      </c>
      <c r="I69" s="46"/>
      <c r="J69" s="46"/>
      <c r="K69" s="46"/>
      <c r="L69" s="46">
        <f t="shared" si="50"/>
        <v>2.2036719529785246E-3</v>
      </c>
      <c r="M69" s="46"/>
      <c r="N69" s="46"/>
      <c r="O69" s="4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6" t="s">
        <v>50</v>
      </c>
      <c r="B70" s="16" t="s">
        <v>32</v>
      </c>
      <c r="C70" s="17"/>
      <c r="D70" s="17"/>
      <c r="E70" s="17"/>
      <c r="F70" s="17"/>
      <c r="G70" s="46">
        <f t="shared" ref="G70:K70" si="52">G56/G28</f>
        <v>0.32463282958943546</v>
      </c>
      <c r="H70" s="46">
        <f t="shared" si="52"/>
        <v>0.31137695334845683</v>
      </c>
      <c r="I70" s="46"/>
      <c r="J70" s="46"/>
      <c r="K70" s="46">
        <f t="shared" si="52"/>
        <v>0.42613258663373299</v>
      </c>
      <c r="L70" s="46">
        <f t="shared" ref="L70" si="53">L56/L28</f>
        <v>0.3951537830256856</v>
      </c>
      <c r="M70" s="46"/>
      <c r="N70" s="46"/>
      <c r="O70" s="4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6" t="s">
        <v>50</v>
      </c>
      <c r="B71" s="16" t="s">
        <v>33</v>
      </c>
      <c r="C71" s="17"/>
      <c r="D71" s="17"/>
      <c r="E71" s="17"/>
      <c r="F71" s="17"/>
      <c r="G71" s="46">
        <f t="shared" ref="G71:K71" si="54">G57/G29</f>
        <v>0.28513133762469733</v>
      </c>
      <c r="H71" s="46">
        <f t="shared" si="54"/>
        <v>0.28228583984846511</v>
      </c>
      <c r="I71" s="46"/>
      <c r="J71" s="46"/>
      <c r="K71" s="46">
        <f t="shared" si="54"/>
        <v>0.41705074048178992</v>
      </c>
      <c r="L71" s="46">
        <f t="shared" ref="L71" si="55">L57/L29</f>
        <v>0.38050602830705454</v>
      </c>
      <c r="M71" s="46"/>
      <c r="N71" s="46"/>
      <c r="O71" s="4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6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47" t="s">
        <v>51</v>
      </c>
      <c r="B73" s="47" t="s">
        <v>14</v>
      </c>
      <c r="C73" s="48">
        <v>0</v>
      </c>
      <c r="D73" s="48">
        <v>0</v>
      </c>
      <c r="E73" s="48">
        <v>0</v>
      </c>
      <c r="F73" s="48">
        <v>0</v>
      </c>
      <c r="G73" s="48">
        <v>0</v>
      </c>
      <c r="H73" s="48"/>
      <c r="I73" s="48"/>
      <c r="J73" s="48"/>
      <c r="K73" s="48"/>
      <c r="L73" s="48"/>
      <c r="M73" s="48"/>
      <c r="N73" s="48"/>
      <c r="O73" s="4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47" t="s">
        <v>51</v>
      </c>
      <c r="B74" s="47" t="s">
        <v>15</v>
      </c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47" t="s">
        <v>51</v>
      </c>
      <c r="B75" s="47" t="s">
        <v>17</v>
      </c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47" t="s">
        <v>51</v>
      </c>
      <c r="B76" s="47" t="s">
        <v>18</v>
      </c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47" t="s">
        <v>51</v>
      </c>
      <c r="B77" s="47" t="s">
        <v>19</v>
      </c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47" t="s">
        <v>51</v>
      </c>
      <c r="B78" s="47" t="s">
        <v>20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47" t="s">
        <v>51</v>
      </c>
      <c r="B79" s="47" t="s">
        <v>22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47" t="s">
        <v>51</v>
      </c>
      <c r="B80" s="47" t="s">
        <v>24</v>
      </c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47" t="s">
        <v>51</v>
      </c>
      <c r="B81" s="47" t="s">
        <v>26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47" t="s">
        <v>51</v>
      </c>
      <c r="B82" s="47" t="s">
        <v>27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1"/>
      <c r="Q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47" t="s">
        <v>51</v>
      </c>
      <c r="B83" s="47" t="s">
        <v>30</v>
      </c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47" t="s">
        <v>51</v>
      </c>
      <c r="B84" s="47" t="s">
        <v>32</v>
      </c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47" t="s">
        <v>51</v>
      </c>
      <c r="B85" s="47" t="s">
        <v>33</v>
      </c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47"/>
      <c r="B86" s="47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49" t="s">
        <v>52</v>
      </c>
      <c r="B87" s="49" t="s">
        <v>14</v>
      </c>
      <c r="C87" s="50">
        <f>5786558+750000+1300000</f>
        <v>7836558</v>
      </c>
      <c r="D87" s="50">
        <f>C87+54154</f>
        <v>7890712</v>
      </c>
      <c r="E87" s="50">
        <f>D87+431170</f>
        <v>8321882</v>
      </c>
      <c r="F87" s="50">
        <f>E87</f>
        <v>8321882</v>
      </c>
      <c r="G87" s="50">
        <f>F87+166762.43988</f>
        <v>8488644.4398800004</v>
      </c>
      <c r="H87" s="50">
        <f>G87+864416.17072</f>
        <v>9353060.6106000002</v>
      </c>
      <c r="I87" s="51">
        <f>12126168.6706+2023484.76</f>
        <v>14149653.430600001</v>
      </c>
      <c r="J87" s="51">
        <f>I87+2023484.76+458547.84</f>
        <v>16631686.0306</v>
      </c>
      <c r="K87" s="51">
        <f>J87+561446.25</f>
        <v>17193132.2806</v>
      </c>
      <c r="L87" s="51">
        <f>K87+653185.25</f>
        <v>17846317.5306</v>
      </c>
      <c r="M87" s="51"/>
      <c r="N87" s="51"/>
      <c r="O87" s="51"/>
      <c r="P87" s="1">
        <v>7232365</v>
      </c>
      <c r="Q87" s="1">
        <f>P87+2023484.76</f>
        <v>9255849.7599999998</v>
      </c>
      <c r="R87" s="1">
        <v>9255849.7599999998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49" t="s">
        <v>52</v>
      </c>
      <c r="B88" s="49" t="s">
        <v>15</v>
      </c>
      <c r="C88" s="50"/>
      <c r="D88" s="50"/>
      <c r="E88" s="50"/>
      <c r="F88" s="50">
        <v>184393</v>
      </c>
      <c r="G88" s="50">
        <f>F88</f>
        <v>184393</v>
      </c>
      <c r="H88" s="50">
        <f t="shared" ref="H88:J91" si="56">G88</f>
        <v>184393</v>
      </c>
      <c r="I88" s="50">
        <f t="shared" si="56"/>
        <v>184393</v>
      </c>
      <c r="J88" s="50">
        <f t="shared" si="56"/>
        <v>184393</v>
      </c>
      <c r="K88" s="50">
        <f>J88</f>
        <v>184393</v>
      </c>
      <c r="L88" s="50">
        <f>K88</f>
        <v>184393</v>
      </c>
      <c r="M88" s="50"/>
      <c r="N88" s="50"/>
      <c r="O88" s="50"/>
      <c r="P88" s="29">
        <f>(O100-I100)/I100</f>
        <v>-1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49" t="s">
        <v>52</v>
      </c>
      <c r="B89" s="49" t="s">
        <v>17</v>
      </c>
      <c r="C89" s="50"/>
      <c r="D89" s="50"/>
      <c r="E89" s="50">
        <v>115236</v>
      </c>
      <c r="F89" s="50">
        <f>E89+275383</f>
        <v>390619</v>
      </c>
      <c r="G89" s="50">
        <f>F89</f>
        <v>390619</v>
      </c>
      <c r="H89" s="50">
        <f>F89+302128</f>
        <v>692747</v>
      </c>
      <c r="I89" s="50">
        <f t="shared" si="56"/>
        <v>692747</v>
      </c>
      <c r="J89" s="50">
        <f t="shared" si="56"/>
        <v>692747</v>
      </c>
      <c r="K89" s="50">
        <f t="shared" ref="K89:L99" si="57">J89</f>
        <v>692747</v>
      </c>
      <c r="L89" s="50">
        <f t="shared" si="57"/>
        <v>692747</v>
      </c>
      <c r="M89" s="50"/>
      <c r="N89" s="50"/>
      <c r="O89" s="50"/>
      <c r="P89" s="29">
        <f>(O100-C100)/C100</f>
        <v>-1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49" t="s">
        <v>52</v>
      </c>
      <c r="B90" s="49" t="s">
        <v>18</v>
      </c>
      <c r="C90" s="50"/>
      <c r="D90" s="50"/>
      <c r="E90" s="50"/>
      <c r="F90" s="50">
        <v>902623</v>
      </c>
      <c r="G90" s="50">
        <f>F90</f>
        <v>902623</v>
      </c>
      <c r="H90" s="50">
        <f>G90+254762</f>
        <v>1157385</v>
      </c>
      <c r="I90" s="50">
        <f t="shared" si="56"/>
        <v>1157385</v>
      </c>
      <c r="J90" s="50">
        <f>I90+36617</f>
        <v>1194002</v>
      </c>
      <c r="K90" s="50">
        <f t="shared" si="57"/>
        <v>1194002</v>
      </c>
      <c r="L90" s="50">
        <f t="shared" si="57"/>
        <v>1194002</v>
      </c>
      <c r="M90" s="50"/>
      <c r="N90" s="50"/>
      <c r="O90" s="5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49" t="s">
        <v>52</v>
      </c>
      <c r="B91" s="49" t="s">
        <v>19</v>
      </c>
      <c r="C91" s="50">
        <v>9225.6200000000008</v>
      </c>
      <c r="D91" s="50">
        <v>9225.6200000000008</v>
      </c>
      <c r="E91" s="50">
        <v>9225.6200000000008</v>
      </c>
      <c r="F91" s="50">
        <f>E91+695133.33</f>
        <v>704358.95</v>
      </c>
      <c r="G91" s="50">
        <f>F91</f>
        <v>704358.95</v>
      </c>
      <c r="H91" s="50">
        <f>G91+515498</f>
        <v>1219856.95</v>
      </c>
      <c r="I91" s="50">
        <f t="shared" si="56"/>
        <v>1219856.95</v>
      </c>
      <c r="J91" s="50">
        <f t="shared" si="56"/>
        <v>1219856.95</v>
      </c>
      <c r="K91" s="50">
        <f t="shared" si="57"/>
        <v>1219856.95</v>
      </c>
      <c r="L91" s="50">
        <f t="shared" si="57"/>
        <v>1219856.95</v>
      </c>
      <c r="M91" s="50"/>
      <c r="N91" s="50"/>
      <c r="O91" s="5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49" t="s">
        <v>52</v>
      </c>
      <c r="B92" s="49" t="s">
        <v>20</v>
      </c>
      <c r="C92" s="50"/>
      <c r="D92" s="50"/>
      <c r="E92" s="50">
        <v>116847</v>
      </c>
      <c r="F92" s="50">
        <v>116847</v>
      </c>
      <c r="G92" s="50">
        <v>116847</v>
      </c>
      <c r="H92" s="50">
        <v>116847</v>
      </c>
      <c r="I92" s="50">
        <v>116847</v>
      </c>
      <c r="J92" s="50">
        <v>116847</v>
      </c>
      <c r="K92" s="50">
        <f t="shared" si="57"/>
        <v>116847</v>
      </c>
      <c r="L92" s="50">
        <f t="shared" si="57"/>
        <v>116847</v>
      </c>
      <c r="M92" s="50"/>
      <c r="N92" s="50"/>
      <c r="O92" s="5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49" t="s">
        <v>52</v>
      </c>
      <c r="B93" s="49" t="s">
        <v>22</v>
      </c>
      <c r="C93" s="50"/>
      <c r="D93" s="50"/>
      <c r="E93" s="50"/>
      <c r="F93" s="50"/>
      <c r="G93" s="50"/>
      <c r="H93" s="50"/>
      <c r="I93" s="50">
        <v>164693.1</v>
      </c>
      <c r="J93" s="50">
        <f>I93</f>
        <v>164693.1</v>
      </c>
      <c r="K93" s="50">
        <f t="shared" si="57"/>
        <v>164693.1</v>
      </c>
      <c r="L93" s="50">
        <f t="shared" si="57"/>
        <v>164693.1</v>
      </c>
      <c r="M93" s="50"/>
      <c r="N93" s="50"/>
      <c r="O93" s="5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49" t="s">
        <v>52</v>
      </c>
      <c r="B94" s="49" t="s">
        <v>24</v>
      </c>
      <c r="C94" s="50"/>
      <c r="D94" s="50"/>
      <c r="E94" s="50"/>
      <c r="F94" s="50"/>
      <c r="G94" s="50"/>
      <c r="H94" s="50"/>
      <c r="I94" s="50"/>
      <c r="J94" s="50">
        <f t="shared" ref="J94:J97" si="58">I94</f>
        <v>0</v>
      </c>
      <c r="K94" s="50">
        <f t="shared" si="57"/>
        <v>0</v>
      </c>
      <c r="L94" s="50">
        <f t="shared" si="57"/>
        <v>0</v>
      </c>
      <c r="M94" s="50"/>
      <c r="N94" s="50"/>
      <c r="O94" s="5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49" t="s">
        <v>52</v>
      </c>
      <c r="B95" s="49" t="s">
        <v>26</v>
      </c>
      <c r="C95" s="50"/>
      <c r="D95" s="50"/>
      <c r="E95" s="50"/>
      <c r="F95" s="50"/>
      <c r="G95" s="50"/>
      <c r="H95" s="50">
        <v>5851</v>
      </c>
      <c r="I95" s="50">
        <v>5851</v>
      </c>
      <c r="J95" s="50">
        <f t="shared" si="58"/>
        <v>5851</v>
      </c>
      <c r="K95" s="50">
        <f t="shared" si="57"/>
        <v>5851</v>
      </c>
      <c r="L95" s="50">
        <f t="shared" si="57"/>
        <v>5851</v>
      </c>
      <c r="M95" s="50"/>
      <c r="N95" s="50"/>
      <c r="O95" s="5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49" t="s">
        <v>52</v>
      </c>
      <c r="B96" s="49" t="s">
        <v>27</v>
      </c>
      <c r="C96" s="50"/>
      <c r="D96" s="50"/>
      <c r="E96" s="50"/>
      <c r="F96" s="50"/>
      <c r="G96" s="50"/>
      <c r="H96" s="50">
        <v>71523</v>
      </c>
      <c r="I96" s="50">
        <f>H96</f>
        <v>71523</v>
      </c>
      <c r="J96" s="50">
        <f t="shared" si="58"/>
        <v>71523</v>
      </c>
      <c r="K96" s="50">
        <f t="shared" si="57"/>
        <v>71523</v>
      </c>
      <c r="L96" s="50">
        <f t="shared" si="57"/>
        <v>71523</v>
      </c>
      <c r="M96" s="50"/>
      <c r="N96" s="50"/>
      <c r="O96" s="5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49" t="s">
        <v>52</v>
      </c>
      <c r="B97" s="49" t="s">
        <v>30</v>
      </c>
      <c r="C97" s="50"/>
      <c r="D97" s="50"/>
      <c r="E97" s="50"/>
      <c r="F97" s="50"/>
      <c r="G97" s="50"/>
      <c r="H97" s="50"/>
      <c r="I97" s="50"/>
      <c r="J97" s="50">
        <f t="shared" si="58"/>
        <v>0</v>
      </c>
      <c r="K97" s="50">
        <f t="shared" si="57"/>
        <v>0</v>
      </c>
      <c r="L97" s="50">
        <f t="shared" si="57"/>
        <v>0</v>
      </c>
      <c r="M97" s="50"/>
      <c r="N97" s="50"/>
      <c r="O97" s="50"/>
      <c r="P97" s="29">
        <f>(27-26)/27</f>
        <v>3.7037037037037035E-2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49" t="s">
        <v>52</v>
      </c>
      <c r="B98" s="49" t="s">
        <v>32</v>
      </c>
      <c r="C98" s="50">
        <v>2658</v>
      </c>
      <c r="D98" s="50">
        <v>2658</v>
      </c>
      <c r="E98" s="50">
        <v>2658</v>
      </c>
      <c r="F98" s="50">
        <v>2658</v>
      </c>
      <c r="G98" s="50">
        <v>2658</v>
      </c>
      <c r="H98" s="50">
        <f>G98+82556</f>
        <v>85214</v>
      </c>
      <c r="I98" s="50">
        <f>H98+48751</f>
        <v>133965</v>
      </c>
      <c r="J98" s="50">
        <f>I98+139230</f>
        <v>273195</v>
      </c>
      <c r="K98" s="50">
        <f t="shared" si="57"/>
        <v>273195</v>
      </c>
      <c r="L98" s="50">
        <f t="shared" si="57"/>
        <v>273195</v>
      </c>
      <c r="M98" s="50"/>
      <c r="N98" s="50"/>
      <c r="O98" s="50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thickBot="1">
      <c r="A99" s="52" t="s">
        <v>52</v>
      </c>
      <c r="B99" s="52" t="s">
        <v>33</v>
      </c>
      <c r="C99" s="53"/>
      <c r="D99" s="53"/>
      <c r="E99" s="53"/>
      <c r="F99" s="53"/>
      <c r="G99" s="53"/>
      <c r="H99" s="53"/>
      <c r="I99" s="53"/>
      <c r="J99" s="53">
        <f>I99</f>
        <v>0</v>
      </c>
      <c r="K99" s="50">
        <f t="shared" si="57"/>
        <v>0</v>
      </c>
      <c r="L99" s="50">
        <f t="shared" si="57"/>
        <v>0</v>
      </c>
      <c r="M99" s="53"/>
      <c r="N99" s="53"/>
      <c r="O99" s="53"/>
      <c r="P99" s="1"/>
      <c r="Q99" s="1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54" t="s">
        <v>53</v>
      </c>
      <c r="B100" s="55" t="s">
        <v>37</v>
      </c>
      <c r="C100" s="56">
        <f t="shared" ref="C100:L100" si="59">SUM(C87:C99)</f>
        <v>7848441.6200000001</v>
      </c>
      <c r="D100" s="56">
        <f t="shared" si="59"/>
        <v>7902595.6200000001</v>
      </c>
      <c r="E100" s="56">
        <f t="shared" si="59"/>
        <v>8565848.6199999992</v>
      </c>
      <c r="F100" s="56">
        <f t="shared" si="59"/>
        <v>10623380.949999999</v>
      </c>
      <c r="G100" s="56">
        <f t="shared" si="59"/>
        <v>10790143.38988</v>
      </c>
      <c r="H100" s="57">
        <f t="shared" si="59"/>
        <v>12886877.5606</v>
      </c>
      <c r="I100" s="57">
        <f t="shared" si="59"/>
        <v>17896914.480600003</v>
      </c>
      <c r="J100" s="57">
        <f t="shared" si="59"/>
        <v>20554794.080600001</v>
      </c>
      <c r="K100" s="57">
        <f t="shared" si="59"/>
        <v>21116240.330600001</v>
      </c>
      <c r="L100" s="57">
        <f t="shared" si="59"/>
        <v>21769425.580600001</v>
      </c>
      <c r="M100" s="57"/>
      <c r="N100" s="57"/>
      <c r="O100" s="57">
        <f>SUM(O87:O99)</f>
        <v>0</v>
      </c>
      <c r="P100" s="136">
        <f>(L100-K100)/L100</f>
        <v>3.0004707638316891E-2</v>
      </c>
      <c r="Q100" s="137">
        <f>(L100-C100)/L100</f>
        <v>0.63947410596840903</v>
      </c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58" t="s">
        <v>54</v>
      </c>
      <c r="B101" s="58" t="s">
        <v>14</v>
      </c>
      <c r="C101" s="59">
        <v>561.5</v>
      </c>
      <c r="D101" s="59">
        <f>C101</f>
        <v>561.5</v>
      </c>
      <c r="E101" s="59">
        <v>678.68</v>
      </c>
      <c r="F101" s="59">
        <v>822.8</v>
      </c>
      <c r="G101" s="59">
        <v>976.18</v>
      </c>
      <c r="H101" s="60">
        <v>2056</v>
      </c>
      <c r="I101" s="60">
        <f t="shared" ref="I101:I108" si="60">H101</f>
        <v>2056</v>
      </c>
      <c r="J101" s="60">
        <f>I101</f>
        <v>2056</v>
      </c>
      <c r="K101" s="60">
        <v>4091.28</v>
      </c>
      <c r="L101" s="60">
        <f>K101</f>
        <v>4091.28</v>
      </c>
      <c r="M101" s="60"/>
      <c r="N101" s="60"/>
      <c r="O101" s="60"/>
      <c r="P101" s="1" t="s">
        <v>55</v>
      </c>
      <c r="Q101" s="29">
        <f t="shared" ref="Q101:Q108" si="61">(H101-G101)/G101</f>
        <v>1.1061689442520848</v>
      </c>
      <c r="R101" s="29">
        <f>(H101-300)/300</f>
        <v>5.8533333333333335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61" t="s">
        <v>54</v>
      </c>
      <c r="B102" s="61" t="s">
        <v>15</v>
      </c>
      <c r="C102" s="59">
        <v>236</v>
      </c>
      <c r="D102" s="59">
        <v>236</v>
      </c>
      <c r="E102" s="59">
        <v>236</v>
      </c>
      <c r="F102" s="59">
        <v>236</v>
      </c>
      <c r="G102" s="59">
        <v>236</v>
      </c>
      <c r="H102" s="59">
        <v>236</v>
      </c>
      <c r="I102" s="59">
        <f t="shared" si="60"/>
        <v>236</v>
      </c>
      <c r="J102" s="59">
        <v>236</v>
      </c>
      <c r="K102" s="59">
        <v>2413.04</v>
      </c>
      <c r="L102" s="60">
        <f t="shared" ref="L102:L113" si="62">K102</f>
        <v>2413.04</v>
      </c>
      <c r="M102" s="60"/>
      <c r="N102" s="59"/>
      <c r="O102" s="59"/>
      <c r="P102" s="29">
        <f>(O100-I100)/I100</f>
        <v>-1</v>
      </c>
      <c r="Q102" s="29">
        <f t="shared" si="61"/>
        <v>0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61" t="s">
        <v>54</v>
      </c>
      <c r="B103" s="61" t="s">
        <v>17</v>
      </c>
      <c r="C103" s="59">
        <v>129.75</v>
      </c>
      <c r="D103" s="59">
        <v>129.75</v>
      </c>
      <c r="E103" s="59">
        <v>129.75</v>
      </c>
      <c r="F103" s="59">
        <v>129.75</v>
      </c>
      <c r="G103" s="59">
        <v>129.75</v>
      </c>
      <c r="H103" s="59">
        <v>129.75</v>
      </c>
      <c r="I103" s="59">
        <f t="shared" si="60"/>
        <v>129.75</v>
      </c>
      <c r="J103" s="59">
        <v>1873.45</v>
      </c>
      <c r="K103" s="59">
        <v>1873.45</v>
      </c>
      <c r="L103" s="60">
        <f t="shared" si="62"/>
        <v>1873.45</v>
      </c>
      <c r="M103" s="60"/>
      <c r="N103" s="59"/>
      <c r="O103" s="59"/>
      <c r="P103" s="1"/>
      <c r="Q103" s="29">
        <f t="shared" si="61"/>
        <v>0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61" t="s">
        <v>54</v>
      </c>
      <c r="B104" s="61" t="s">
        <v>18</v>
      </c>
      <c r="C104" s="59">
        <v>713.12</v>
      </c>
      <c r="D104" s="59">
        <v>713.12</v>
      </c>
      <c r="E104" s="59">
        <v>713.12</v>
      </c>
      <c r="F104" s="59">
        <v>713.12</v>
      </c>
      <c r="G104" s="59">
        <v>713.12</v>
      </c>
      <c r="H104" s="59">
        <f>G104+1677.9</f>
        <v>2391.02</v>
      </c>
      <c r="I104" s="59">
        <f t="shared" si="60"/>
        <v>2391.02</v>
      </c>
      <c r="J104" s="59">
        <f t="shared" ref="J104:K108" si="63">I104</f>
        <v>2391.02</v>
      </c>
      <c r="K104" s="59">
        <f t="shared" si="63"/>
        <v>2391.02</v>
      </c>
      <c r="L104" s="60">
        <f t="shared" si="62"/>
        <v>2391.02</v>
      </c>
      <c r="M104" s="60"/>
      <c r="N104" s="59"/>
      <c r="O104" s="59"/>
      <c r="P104" s="1"/>
      <c r="Q104" s="29">
        <f t="shared" si="61"/>
        <v>2.3528999326901503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61" t="s">
        <v>54</v>
      </c>
      <c r="B105" s="61" t="s">
        <v>19</v>
      </c>
      <c r="C105" s="59">
        <v>23.04</v>
      </c>
      <c r="D105" s="59">
        <v>23.04</v>
      </c>
      <c r="E105" s="59">
        <v>23.04</v>
      </c>
      <c r="F105" s="59">
        <v>23.04</v>
      </c>
      <c r="G105" s="59">
        <v>23.04</v>
      </c>
      <c r="H105" s="59">
        <f>G105+1461.7</f>
        <v>1484.74</v>
      </c>
      <c r="I105" s="59">
        <f t="shared" si="60"/>
        <v>1484.74</v>
      </c>
      <c r="J105" s="59">
        <f t="shared" si="63"/>
        <v>1484.74</v>
      </c>
      <c r="K105" s="59">
        <f t="shared" si="63"/>
        <v>1484.74</v>
      </c>
      <c r="L105" s="60">
        <f t="shared" si="62"/>
        <v>1484.74</v>
      </c>
      <c r="M105" s="60"/>
      <c r="N105" s="59"/>
      <c r="O105" s="59"/>
      <c r="P105" s="1"/>
      <c r="Q105" s="29">
        <f t="shared" si="61"/>
        <v>63.441840277777779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61" t="s">
        <v>54</v>
      </c>
      <c r="B106" s="61" t="s">
        <v>20</v>
      </c>
      <c r="C106" s="59"/>
      <c r="D106" s="59"/>
      <c r="E106" s="62"/>
      <c r="F106" s="59"/>
      <c r="G106" s="59">
        <v>261.95999999999998</v>
      </c>
      <c r="H106" s="59">
        <v>261.95999999999998</v>
      </c>
      <c r="I106" s="59">
        <f t="shared" si="60"/>
        <v>261.95999999999998</v>
      </c>
      <c r="J106" s="59">
        <f t="shared" si="63"/>
        <v>261.95999999999998</v>
      </c>
      <c r="K106" s="59">
        <f t="shared" si="63"/>
        <v>261.95999999999998</v>
      </c>
      <c r="L106" s="60">
        <f t="shared" si="62"/>
        <v>261.95999999999998</v>
      </c>
      <c r="M106" s="60"/>
      <c r="N106" s="59"/>
      <c r="O106" s="59"/>
      <c r="P106" s="1"/>
      <c r="Q106" s="29">
        <f t="shared" si="61"/>
        <v>0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61" t="s">
        <v>54</v>
      </c>
      <c r="B107" s="61" t="s">
        <v>22</v>
      </c>
      <c r="C107" s="59">
        <v>18.5</v>
      </c>
      <c r="D107" s="59">
        <v>18.5</v>
      </c>
      <c r="E107" s="59">
        <v>18.5</v>
      </c>
      <c r="F107" s="59">
        <v>18.5</v>
      </c>
      <c r="G107" s="59">
        <v>18.5</v>
      </c>
      <c r="H107" s="59">
        <v>24.02</v>
      </c>
      <c r="I107" s="59">
        <f t="shared" si="60"/>
        <v>24.02</v>
      </c>
      <c r="J107" s="59">
        <f t="shared" si="63"/>
        <v>24.02</v>
      </c>
      <c r="K107" s="59">
        <f t="shared" si="63"/>
        <v>24.02</v>
      </c>
      <c r="L107" s="60">
        <f t="shared" si="62"/>
        <v>24.02</v>
      </c>
      <c r="M107" s="60"/>
      <c r="N107" s="59"/>
      <c r="O107" s="59"/>
      <c r="P107" s="1"/>
      <c r="Q107" s="29">
        <f t="shared" si="61"/>
        <v>0.29837837837837833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61" t="s">
        <v>54</v>
      </c>
      <c r="B108" s="61" t="s">
        <v>24</v>
      </c>
      <c r="C108" s="59">
        <v>88.8</v>
      </c>
      <c r="D108" s="59">
        <v>88.8</v>
      </c>
      <c r="E108" s="59">
        <v>88.8</v>
      </c>
      <c r="F108" s="59">
        <v>88.8</v>
      </c>
      <c r="G108" s="59">
        <v>88.8</v>
      </c>
      <c r="H108" s="59">
        <v>88.8</v>
      </c>
      <c r="I108" s="59">
        <f t="shared" si="60"/>
        <v>88.8</v>
      </c>
      <c r="J108" s="59">
        <f t="shared" si="63"/>
        <v>88.8</v>
      </c>
      <c r="K108" s="59">
        <f t="shared" si="63"/>
        <v>88.8</v>
      </c>
      <c r="L108" s="60">
        <f t="shared" si="62"/>
        <v>88.8</v>
      </c>
      <c r="M108" s="60"/>
      <c r="N108" s="59"/>
      <c r="O108" s="59"/>
      <c r="P108" s="1"/>
      <c r="Q108" s="29">
        <f t="shared" si="61"/>
        <v>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61" t="s">
        <v>54</v>
      </c>
      <c r="B109" s="61" t="s">
        <v>26</v>
      </c>
      <c r="C109" s="59"/>
      <c r="D109" s="59"/>
      <c r="E109" s="59"/>
      <c r="F109" s="59"/>
      <c r="G109" s="59"/>
      <c r="H109" s="59"/>
      <c r="I109" s="59"/>
      <c r="J109" s="59"/>
      <c r="K109" s="59"/>
      <c r="L109" s="60">
        <f t="shared" si="62"/>
        <v>0</v>
      </c>
      <c r="M109" s="60"/>
      <c r="N109" s="59"/>
      <c r="O109" s="59"/>
      <c r="P109" s="1"/>
      <c r="Q109" s="29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61" t="s">
        <v>54</v>
      </c>
      <c r="B110" s="61" t="s">
        <v>27</v>
      </c>
      <c r="C110" s="59">
        <v>886.82</v>
      </c>
      <c r="D110" s="59">
        <v>886.82</v>
      </c>
      <c r="E110" s="59">
        <f>C110+385.22</f>
        <v>1272.04</v>
      </c>
      <c r="F110" s="59">
        <v>1272.04</v>
      </c>
      <c r="G110" s="59">
        <v>1272.04</v>
      </c>
      <c r="H110" s="59">
        <v>1272.04</v>
      </c>
      <c r="I110" s="59">
        <f>H110+1580</f>
        <v>2852.04</v>
      </c>
      <c r="J110" s="59">
        <v>3015.78</v>
      </c>
      <c r="K110" s="59">
        <v>3015.78</v>
      </c>
      <c r="L110" s="60">
        <f t="shared" si="62"/>
        <v>3015.78</v>
      </c>
      <c r="M110" s="60"/>
      <c r="N110" s="59"/>
      <c r="O110" s="59"/>
      <c r="P110" s="1" t="s">
        <v>56</v>
      </c>
      <c r="Q110" s="29">
        <f t="shared" ref="Q110:Q113" si="64">(H110-G110)/G110</f>
        <v>0</v>
      </c>
      <c r="R110" s="29">
        <f>((H110+1580)-1387)/1387</f>
        <v>1.0562653208363373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61" t="s">
        <v>54</v>
      </c>
      <c r="B111" s="61" t="s">
        <v>30</v>
      </c>
      <c r="C111" s="59"/>
      <c r="D111" s="59">
        <v>82</v>
      </c>
      <c r="E111" s="59">
        <v>82</v>
      </c>
      <c r="F111" s="59">
        <v>82</v>
      </c>
      <c r="G111" s="59">
        <v>82</v>
      </c>
      <c r="H111" s="59">
        <f>G111+13.65</f>
        <v>95.65</v>
      </c>
      <c r="I111" s="59">
        <v>595.65</v>
      </c>
      <c r="J111" s="59">
        <f>I111</f>
        <v>595.65</v>
      </c>
      <c r="K111" s="59">
        <f>J111</f>
        <v>595.65</v>
      </c>
      <c r="L111" s="60">
        <f t="shared" si="62"/>
        <v>595.65</v>
      </c>
      <c r="M111" s="60"/>
      <c r="N111" s="59"/>
      <c r="O111" s="59"/>
      <c r="P111" s="1"/>
      <c r="Q111" s="29">
        <f t="shared" si="64"/>
        <v>0.16646341463414641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61" t="s">
        <v>54</v>
      </c>
      <c r="B112" s="61" t="s">
        <v>32</v>
      </c>
      <c r="C112" s="59">
        <v>700.07</v>
      </c>
      <c r="D112" s="59">
        <v>700.07</v>
      </c>
      <c r="E112" s="59">
        <v>700.07</v>
      </c>
      <c r="F112" s="59">
        <v>700.07</v>
      </c>
      <c r="G112" s="59">
        <v>700.07</v>
      </c>
      <c r="H112" s="59">
        <v>700.07</v>
      </c>
      <c r="I112" s="59">
        <f>H112-89</f>
        <v>611.07000000000005</v>
      </c>
      <c r="J112" s="59">
        <v>934.61</v>
      </c>
      <c r="K112" s="59">
        <f>J112</f>
        <v>934.61</v>
      </c>
      <c r="L112" s="60">
        <f t="shared" si="62"/>
        <v>934.61</v>
      </c>
      <c r="M112" s="60"/>
      <c r="N112" s="59"/>
      <c r="O112" s="59"/>
      <c r="P112" s="1"/>
      <c r="Q112" s="29">
        <f t="shared" si="64"/>
        <v>0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61" t="s">
        <v>54</v>
      </c>
      <c r="B113" s="61" t="s">
        <v>33</v>
      </c>
      <c r="C113" s="59"/>
      <c r="D113" s="59"/>
      <c r="E113" s="59">
        <v>504</v>
      </c>
      <c r="F113" s="59">
        <f t="shared" ref="F113:G113" si="65">E113</f>
        <v>504</v>
      </c>
      <c r="G113" s="59">
        <f t="shared" si="65"/>
        <v>504</v>
      </c>
      <c r="H113" s="59">
        <f>G113+96.48</f>
        <v>600.48</v>
      </c>
      <c r="I113" s="59">
        <f>H113+102.4</f>
        <v>702.88</v>
      </c>
      <c r="J113" s="59">
        <f>I113</f>
        <v>702.88</v>
      </c>
      <c r="K113" s="59">
        <f>J113</f>
        <v>702.88</v>
      </c>
      <c r="L113" s="60">
        <f t="shared" si="62"/>
        <v>702.88</v>
      </c>
      <c r="M113" s="60"/>
      <c r="N113" s="59"/>
      <c r="O113" s="59"/>
      <c r="P113" s="1" t="s">
        <v>57</v>
      </c>
      <c r="Q113" s="29">
        <f t="shared" si="64"/>
        <v>0.19142857142857148</v>
      </c>
      <c r="R113" s="29">
        <f>(700-G113)/G113</f>
        <v>0.3888888888888889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63" t="s">
        <v>36</v>
      </c>
      <c r="B114" s="63" t="s">
        <v>36</v>
      </c>
      <c r="C114" s="64">
        <v>3248.34</v>
      </c>
      <c r="D114" s="64">
        <v>3260.84</v>
      </c>
      <c r="E114" s="64">
        <v>3882.02</v>
      </c>
      <c r="F114" s="64">
        <v>4411.3599999999997</v>
      </c>
      <c r="G114" s="64">
        <v>4567.72</v>
      </c>
      <c r="H114" s="64">
        <f t="shared" ref="H114:L114" si="66">SUM(H101:H113)</f>
        <v>9340.5300000000007</v>
      </c>
      <c r="I114" s="64">
        <f t="shared" si="66"/>
        <v>11433.93</v>
      </c>
      <c r="J114" s="64">
        <f t="shared" si="66"/>
        <v>13664.909999999998</v>
      </c>
      <c r="K114" s="64">
        <f t="shared" si="66"/>
        <v>17877.23</v>
      </c>
      <c r="L114" s="64">
        <f t="shared" si="66"/>
        <v>17877.23</v>
      </c>
      <c r="M114" s="64"/>
      <c r="N114" s="64"/>
      <c r="O114" s="64"/>
      <c r="P114" s="29">
        <f>(I114-H114)/H114</f>
        <v>0.22412004457991136</v>
      </c>
      <c r="Q114" s="29">
        <f>(I114-C114)/C114</f>
        <v>2.5199301797225657</v>
      </c>
      <c r="R114" s="1"/>
      <c r="S114" s="1"/>
      <c r="T114" s="32">
        <f>H114+1580+100+84.5</f>
        <v>11105.03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65" t="s">
        <v>58</v>
      </c>
      <c r="B115" s="65" t="s">
        <v>59</v>
      </c>
      <c r="C115" s="65"/>
      <c r="D115" s="65"/>
      <c r="E115" s="65"/>
      <c r="F115" s="65"/>
      <c r="G115" s="66">
        <f>H115-72562</f>
        <v>9745103.5</v>
      </c>
      <c r="H115" s="67">
        <v>9817665.5</v>
      </c>
      <c r="I115" s="67"/>
      <c r="J115" s="67"/>
      <c r="K115" s="67"/>
      <c r="L115" s="67"/>
      <c r="M115" s="67"/>
      <c r="N115" s="67"/>
      <c r="O115" s="67"/>
      <c r="P115" s="1" t="s">
        <v>60</v>
      </c>
      <c r="Q115" s="29">
        <f>(H115-G115)/G115</f>
        <v>7.4459958275455975E-3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65" t="s">
        <v>58</v>
      </c>
      <c r="B116" s="65" t="s">
        <v>15</v>
      </c>
      <c r="C116" s="65">
        <v>734748</v>
      </c>
      <c r="D116" s="65">
        <v>728748</v>
      </c>
      <c r="E116" s="65">
        <v>728748</v>
      </c>
      <c r="F116" s="65">
        <v>734728</v>
      </c>
      <c r="G116" s="65">
        <v>734728</v>
      </c>
      <c r="H116" s="67">
        <v>734728</v>
      </c>
      <c r="I116" s="67"/>
      <c r="J116" s="67"/>
      <c r="K116" s="67"/>
      <c r="L116" s="67"/>
      <c r="M116" s="67"/>
      <c r="N116" s="67"/>
      <c r="O116" s="67"/>
      <c r="P116" s="1" t="s">
        <v>61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65" t="s">
        <v>58</v>
      </c>
      <c r="B117" s="65" t="s">
        <v>17</v>
      </c>
      <c r="C117" s="65">
        <v>406569</v>
      </c>
      <c r="D117" s="65">
        <v>406570</v>
      </c>
      <c r="E117" s="65">
        <v>406570</v>
      </c>
      <c r="F117" s="65">
        <v>436570</v>
      </c>
      <c r="G117" s="65">
        <v>436570</v>
      </c>
      <c r="H117" s="67">
        <v>436570</v>
      </c>
      <c r="I117" s="67"/>
      <c r="J117" s="67"/>
      <c r="K117" s="67"/>
      <c r="L117" s="67"/>
      <c r="M117" s="67"/>
      <c r="N117" s="67"/>
      <c r="O117" s="67"/>
      <c r="P117" s="1" t="s">
        <v>62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65" t="s">
        <v>58</v>
      </c>
      <c r="B118" s="65" t="s">
        <v>18</v>
      </c>
      <c r="C118" s="65">
        <v>479432</v>
      </c>
      <c r="D118" s="65">
        <v>481332</v>
      </c>
      <c r="E118" s="65">
        <v>518481</v>
      </c>
      <c r="F118" s="65">
        <v>518481</v>
      </c>
      <c r="G118" s="65">
        <v>518481</v>
      </c>
      <c r="H118" s="67">
        <v>518481</v>
      </c>
      <c r="I118" s="67"/>
      <c r="J118" s="67"/>
      <c r="K118" s="67"/>
      <c r="L118" s="67"/>
      <c r="M118" s="67"/>
      <c r="N118" s="67"/>
      <c r="O118" s="67"/>
      <c r="P118" s="1" t="s">
        <v>62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65" t="s">
        <v>58</v>
      </c>
      <c r="B119" s="65" t="s">
        <v>19</v>
      </c>
      <c r="C119" s="65">
        <v>341720</v>
      </c>
      <c r="D119" s="65">
        <v>341720</v>
      </c>
      <c r="E119" s="65">
        <v>357031</v>
      </c>
      <c r="F119" s="65">
        <v>371299</v>
      </c>
      <c r="G119" s="65">
        <v>371299</v>
      </c>
      <c r="H119" s="67">
        <v>371299</v>
      </c>
      <c r="I119" s="67"/>
      <c r="J119" s="67"/>
      <c r="K119" s="67"/>
      <c r="L119" s="67"/>
      <c r="M119" s="67"/>
      <c r="N119" s="67"/>
      <c r="O119" s="67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65" t="s">
        <v>58</v>
      </c>
      <c r="B120" s="65" t="s">
        <v>20</v>
      </c>
      <c r="C120" s="65">
        <v>204202</v>
      </c>
      <c r="D120" s="65">
        <v>204252</v>
      </c>
      <c r="E120" s="65">
        <v>260592</v>
      </c>
      <c r="F120" s="65">
        <v>260592</v>
      </c>
      <c r="G120" s="65">
        <v>278616</v>
      </c>
      <c r="H120" s="67">
        <v>278616</v>
      </c>
      <c r="I120" s="67"/>
      <c r="J120" s="67"/>
      <c r="K120" s="67"/>
      <c r="L120" s="67"/>
      <c r="M120" s="67"/>
      <c r="N120" s="67"/>
      <c r="O120" s="67"/>
      <c r="P120" s="1" t="s">
        <v>63</v>
      </c>
      <c r="Q120" s="2">
        <v>25962</v>
      </c>
      <c r="R120" s="1" t="s">
        <v>64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65" t="s">
        <v>58</v>
      </c>
      <c r="B121" s="65" t="s">
        <v>22</v>
      </c>
      <c r="C121" s="65"/>
      <c r="D121" s="65"/>
      <c r="E121" s="65"/>
      <c r="F121" s="65"/>
      <c r="G121" s="65"/>
      <c r="H121" s="68"/>
      <c r="I121" s="68"/>
      <c r="J121" s="68"/>
      <c r="K121" s="68"/>
      <c r="L121" s="68"/>
      <c r="M121" s="68"/>
      <c r="N121" s="68"/>
      <c r="O121" s="68"/>
      <c r="P121" s="1"/>
      <c r="Q121" s="2">
        <v>180240</v>
      </c>
      <c r="R121" s="1" t="s">
        <v>64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65" t="s">
        <v>58</v>
      </c>
      <c r="B122" s="65" t="s">
        <v>24</v>
      </c>
      <c r="C122" s="65"/>
      <c r="D122" s="65"/>
      <c r="E122" s="65"/>
      <c r="F122" s="65"/>
      <c r="G122" s="65"/>
      <c r="H122" s="68"/>
      <c r="I122" s="68"/>
      <c r="J122" s="68"/>
      <c r="K122" s="68"/>
      <c r="L122" s="68"/>
      <c r="M122" s="68"/>
      <c r="N122" s="68"/>
      <c r="O122" s="68"/>
      <c r="P122" s="1"/>
      <c r="Q122" s="2">
        <v>22805</v>
      </c>
      <c r="R122" s="1" t="s">
        <v>64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65" t="s">
        <v>58</v>
      </c>
      <c r="B123" s="65" t="s">
        <v>26</v>
      </c>
      <c r="C123" s="65"/>
      <c r="D123" s="65"/>
      <c r="E123" s="65"/>
      <c r="F123" s="65"/>
      <c r="G123" s="65"/>
      <c r="H123" s="68"/>
      <c r="I123" s="68"/>
      <c r="J123" s="68"/>
      <c r="K123" s="68"/>
      <c r="L123" s="68"/>
      <c r="M123" s="68"/>
      <c r="N123" s="68"/>
      <c r="O123" s="68"/>
      <c r="P123" s="1"/>
      <c r="Q123" s="2">
        <v>8326</v>
      </c>
      <c r="R123" s="1" t="s">
        <v>65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65" t="s">
        <v>58</v>
      </c>
      <c r="B124" s="65" t="s">
        <v>66</v>
      </c>
      <c r="C124" s="65"/>
      <c r="D124" s="65"/>
      <c r="E124" s="65"/>
      <c r="F124" s="65"/>
      <c r="G124" s="65">
        <v>447934</v>
      </c>
      <c r="H124" s="67">
        <v>447934</v>
      </c>
      <c r="I124" s="67"/>
      <c r="J124" s="67"/>
      <c r="K124" s="67"/>
      <c r="L124" s="67"/>
      <c r="M124" s="67"/>
      <c r="N124" s="67"/>
      <c r="O124" s="67"/>
      <c r="P124" s="1" t="s">
        <v>62</v>
      </c>
      <c r="Q124" s="2">
        <v>453311</v>
      </c>
      <c r="R124" s="1" t="s">
        <v>64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65" t="s">
        <v>58</v>
      </c>
      <c r="B125" s="65" t="s">
        <v>30</v>
      </c>
      <c r="C125" s="65"/>
      <c r="D125" s="65"/>
      <c r="E125" s="65"/>
      <c r="F125" s="65"/>
      <c r="G125" s="65">
        <v>322122</v>
      </c>
      <c r="H125" s="67">
        <v>322122</v>
      </c>
      <c r="I125" s="67"/>
      <c r="J125" s="67"/>
      <c r="K125" s="67"/>
      <c r="L125" s="67"/>
      <c r="M125" s="67"/>
      <c r="N125" s="67"/>
      <c r="O125" s="67"/>
      <c r="P125" s="1" t="s">
        <v>62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65" t="s">
        <v>58</v>
      </c>
      <c r="B126" s="65" t="s">
        <v>32</v>
      </c>
      <c r="C126" s="65"/>
      <c r="D126" s="65"/>
      <c r="E126" s="65"/>
      <c r="F126" s="65"/>
      <c r="G126" s="65">
        <v>1224500</v>
      </c>
      <c r="H126" s="67">
        <v>1224500</v>
      </c>
      <c r="I126" s="67"/>
      <c r="J126" s="67"/>
      <c r="K126" s="67"/>
      <c r="L126" s="67"/>
      <c r="M126" s="67"/>
      <c r="N126" s="67"/>
      <c r="O126" s="67"/>
      <c r="P126" s="1" t="s">
        <v>62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65" t="s">
        <v>58</v>
      </c>
      <c r="B127" s="65" t="s">
        <v>33</v>
      </c>
      <c r="C127" s="65">
        <v>219139</v>
      </c>
      <c r="D127" s="65">
        <v>219139</v>
      </c>
      <c r="E127" s="65">
        <v>219139</v>
      </c>
      <c r="F127" s="65">
        <v>219139</v>
      </c>
      <c r="G127" s="65">
        <v>219139</v>
      </c>
      <c r="H127" s="67">
        <v>262987</v>
      </c>
      <c r="I127" s="67"/>
      <c r="J127" s="67"/>
      <c r="K127" s="67"/>
      <c r="L127" s="67"/>
      <c r="M127" s="67"/>
      <c r="N127" s="67"/>
      <c r="O127" s="67"/>
      <c r="P127" s="1" t="s">
        <v>67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69" t="s">
        <v>36</v>
      </c>
      <c r="B128" s="69" t="s">
        <v>37</v>
      </c>
      <c r="C128" s="70">
        <f t="shared" ref="C128:H128" si="67">SUM(C115:C127)</f>
        <v>2385810</v>
      </c>
      <c r="D128" s="70">
        <f t="shared" si="67"/>
        <v>2381761</v>
      </c>
      <c r="E128" s="70">
        <f t="shared" si="67"/>
        <v>2490561</v>
      </c>
      <c r="F128" s="70">
        <f t="shared" si="67"/>
        <v>2540809</v>
      </c>
      <c r="G128" s="70">
        <f t="shared" si="67"/>
        <v>14298492.5</v>
      </c>
      <c r="H128" s="70">
        <f t="shared" si="67"/>
        <v>14414902.5</v>
      </c>
      <c r="I128" s="70"/>
      <c r="J128" s="70"/>
      <c r="K128" s="70"/>
      <c r="L128" s="70"/>
      <c r="M128" s="70"/>
      <c r="N128" s="70"/>
      <c r="O128" s="70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.75" customHeight="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</sheetData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C29" sqref="C29"/>
    </sheetView>
  </sheetViews>
  <sheetFormatPr defaultColWidth="14.42578125" defaultRowHeight="15" customHeight="1"/>
  <cols>
    <col min="1" max="2" width="15" customWidth="1"/>
    <col min="3" max="12" width="8.85546875" customWidth="1"/>
    <col min="13" max="13" width="11" bestFit="1" customWidth="1"/>
    <col min="14" max="26" width="8.85546875" customWidth="1"/>
  </cols>
  <sheetData>
    <row r="1" spans="1:13">
      <c r="A1" s="143" t="s">
        <v>68</v>
      </c>
      <c r="B1" s="15">
        <v>198000000</v>
      </c>
      <c r="C1" s="143" t="s">
        <v>69</v>
      </c>
    </row>
    <row r="2" spans="1:13">
      <c r="A2" s="143" t="s">
        <v>70</v>
      </c>
      <c r="B2" s="15">
        <f>Sheet1!L16</f>
        <v>23378122.699885719</v>
      </c>
      <c r="C2" s="143" t="s">
        <v>69</v>
      </c>
    </row>
    <row r="3" spans="1:13">
      <c r="A3" s="143" t="s">
        <v>71</v>
      </c>
      <c r="B3" s="15">
        <f>B1-B2</f>
        <v>174621877.30011427</v>
      </c>
    </row>
    <row r="4" spans="1:13">
      <c r="A4" s="143" t="s">
        <v>72</v>
      </c>
      <c r="B4" s="71">
        <f>B2/B1</f>
        <v>0.11807132676709958</v>
      </c>
    </row>
    <row r="5" spans="1:13">
      <c r="A5" s="143" t="s">
        <v>71</v>
      </c>
      <c r="B5" s="71">
        <f>1-B4</f>
        <v>0.88192867323290036</v>
      </c>
    </row>
    <row r="7" spans="1:13" ht="15" customHeight="1">
      <c r="B7">
        <v>17883025.255000003</v>
      </c>
    </row>
    <row r="12" spans="1:13">
      <c r="A12" s="143" t="s">
        <v>73</v>
      </c>
    </row>
    <row r="14" spans="1:13" ht="15" customHeight="1">
      <c r="M14" s="77"/>
    </row>
    <row r="21" spans="1:3" ht="15.75" customHeight="1">
      <c r="A21" s="143" t="s">
        <v>74</v>
      </c>
      <c r="B21" s="71">
        <v>1.2500000000000001E-2</v>
      </c>
      <c r="C21" s="143" t="s">
        <v>75</v>
      </c>
    </row>
    <row r="22" spans="1:3" ht="15.75" customHeight="1">
      <c r="A22" s="143" t="s">
        <v>76</v>
      </c>
      <c r="B22" s="71">
        <v>1.44E-2</v>
      </c>
      <c r="C22" s="72">
        <f t="shared" ref="C22:C26" si="0">(B22-B21)/B21</f>
        <v>0.15199999999999991</v>
      </c>
    </row>
    <row r="23" spans="1:3" ht="15.75" customHeight="1">
      <c r="A23" s="143" t="s">
        <v>77</v>
      </c>
      <c r="B23" s="71">
        <v>2.5999999999999999E-2</v>
      </c>
      <c r="C23" s="72">
        <f t="shared" si="0"/>
        <v>0.80555555555555547</v>
      </c>
    </row>
    <row r="24" spans="1:3" ht="15.75" customHeight="1">
      <c r="A24" s="143" t="s">
        <v>78</v>
      </c>
      <c r="B24" s="71">
        <v>0.03</v>
      </c>
      <c r="C24" s="72">
        <f t="shared" si="0"/>
        <v>0.15384615384615385</v>
      </c>
    </row>
    <row r="25" spans="1:3" ht="15.75" customHeight="1">
      <c r="A25" s="143" t="s">
        <v>79</v>
      </c>
      <c r="B25" s="71">
        <v>3.4000000000000002E-2</v>
      </c>
      <c r="C25" s="72">
        <f t="shared" si="0"/>
        <v>0.13333333333333347</v>
      </c>
    </row>
    <row r="26" spans="1:3" ht="15.75" customHeight="1">
      <c r="A26" s="143" t="s">
        <v>80</v>
      </c>
      <c r="B26" s="71">
        <v>4.9599999999999998E-2</v>
      </c>
      <c r="C26" s="72">
        <f t="shared" si="0"/>
        <v>0.45882352941176457</v>
      </c>
    </row>
    <row r="27" spans="1:3" ht="15.75" customHeight="1">
      <c r="A27" s="143" t="s">
        <v>81</v>
      </c>
      <c r="B27" s="75">
        <v>7.0922621494949503E-2</v>
      </c>
      <c r="C27" s="76">
        <v>0.4298915623981755</v>
      </c>
    </row>
    <row r="28" spans="1:3" ht="15.75" customHeight="1">
      <c r="A28" s="143" t="s">
        <v>82</v>
      </c>
      <c r="B28" s="71">
        <v>9.0300000000000005E-2</v>
      </c>
      <c r="C28" s="72">
        <f>(B28-B27)/B27</f>
        <v>0.27321858804148114</v>
      </c>
    </row>
    <row r="29" spans="1:3" ht="15.75" customHeight="1">
      <c r="A29" s="143" t="s">
        <v>83</v>
      </c>
      <c r="B29" s="71">
        <v>9.8900000000000002E-2</v>
      </c>
      <c r="C29" s="72">
        <f>(B29-B28)/B28</f>
        <v>9.5238095238095191E-2</v>
      </c>
    </row>
    <row r="30" spans="1:3" ht="15.75" customHeight="1">
      <c r="A30" s="143" t="s">
        <v>84</v>
      </c>
      <c r="B30" s="75">
        <v>0.11807132676709958</v>
      </c>
      <c r="C30" s="72">
        <f>(B30-B29)/B29</f>
        <v>0.1938455689292172</v>
      </c>
    </row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Miles</dc:creator>
  <cp:keywords/>
  <dc:description/>
  <cp:lastModifiedBy/>
  <cp:revision/>
  <dcterms:created xsi:type="dcterms:W3CDTF">2015-06-05T18:17:20Z</dcterms:created>
  <dcterms:modified xsi:type="dcterms:W3CDTF">2025-10-18T18:27:57Z</dcterms:modified>
  <cp:category/>
  <cp:contentStatus/>
</cp:coreProperties>
</file>